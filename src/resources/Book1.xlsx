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agendra\Code\LLM-Eng\TradingPlatform\MyTradingPlatform\src\resources\"/>
    </mc:Choice>
  </mc:AlternateContent>
  <xr:revisionPtr revIDLastSave="0" documentId="13_ncr:1_{A8995144-37B7-4D39-A942-BF681CCE52C0}" xr6:coauthVersionLast="47" xr6:coauthVersionMax="47" xr10:uidLastSave="{00000000-0000-0000-0000-000000000000}"/>
  <bookViews>
    <workbookView xWindow="-120" yWindow="-120" windowWidth="20730" windowHeight="11040" xr2:uid="{33EC3757-EC4E-469A-AF9A-99BBC6FDAD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</calcChain>
</file>

<file path=xl/sharedStrings.xml><?xml version="1.0" encoding="utf-8"?>
<sst xmlns="http://schemas.openxmlformats.org/spreadsheetml/2006/main" count="35" uniqueCount="35">
  <si>
    <t>Symbol</t>
  </si>
  <si>
    <t>Description</t>
  </si>
  <si>
    <t>Quote Trend</t>
  </si>
  <si>
    <t>Last</t>
  </si>
  <si>
    <t>Net Chng</t>
  </si>
  <si>
    <t>%Change</t>
  </si>
  <si>
    <t>% Change_Cust</t>
  </si>
  <si>
    <t>RelativeVol_Cust</t>
  </si>
  <si>
    <t>Bid</t>
  </si>
  <si>
    <t>BS</t>
  </si>
  <si>
    <t>Ask</t>
  </si>
  <si>
    <t>AS</t>
  </si>
  <si>
    <t>Volume</t>
  </si>
  <si>
    <t>MACD</t>
  </si>
  <si>
    <t>Open</t>
  </si>
  <si>
    <t>High</t>
  </si>
  <si>
    <t>Low</t>
  </si>
  <si>
    <t>52High</t>
  </si>
  <si>
    <t>52Low</t>
  </si>
  <si>
    <t>ONDS</t>
  </si>
  <si>
    <t>CYPH</t>
  </si>
  <si>
    <t>IVVD</t>
  </si>
  <si>
    <t>BCG</t>
  </si>
  <si>
    <t>SRRK</t>
  </si>
  <si>
    <t>CMBM</t>
  </si>
  <si>
    <t>AVDL</t>
  </si>
  <si>
    <t>AMPG</t>
  </si>
  <si>
    <t>TOI</t>
  </si>
  <si>
    <t>QMCO</t>
  </si>
  <si>
    <t>MTC</t>
  </si>
  <si>
    <t>XPON</t>
  </si>
  <si>
    <t>LAZR</t>
  </si>
  <si>
    <t>OMER</t>
  </si>
  <si>
    <t>PGEN</t>
  </si>
  <si>
    <t>FIGR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</si>
</sst>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>
        <v>0.11</v>
        <stp/>
        <stp>NET_CHANGE</stp>
        <stp>XPON</stp>
        <tr r="E12" s="1"/>
      </tp>
      <tp t="s">
        <v>instrument=SRRK</v>
        <stp/>
        <stp>QUOTE_TREND</stp>
        <stp>SRRK</stp>
        <tr r="C5" s="1"/>
      </tp>
      <tp>
        <v>1.8900999999999999</v>
        <stp/>
        <stp>LOW</stp>
        <stp>CYPH</stp>
        <tr r="Q2" s="1"/>
      </tp>
      <tp>
        <v>1422032</v>
        <stp/>
        <stp>VOLUME</stp>
        <stp>TOI</stp>
        <tr r="M9" s="1"/>
      </tp>
      <tp t="s">
        <v>AVADEL PHARMACEUTICA</v>
        <stp/>
        <stp>DESCRIPTION</stp>
        <stp>AVDL</stp>
        <tr r="B7" s="1"/>
      </tp>
      <tp t="s">
        <v>loading</v>
        <stp/>
        <stp>MACD</stp>
        <stp>TOI</stp>
        <tr r="N9" s="1"/>
      </tp>
      <tp t="s">
        <v>INVIVYD INC</v>
        <stp/>
        <stp>DESCRIPTION</stp>
        <stp>IVVD</stp>
        <tr r="B3" s="1"/>
      </tp>
      <tp>
        <v>3.7700999999999998</v>
        <stp/>
        <stp>LAST</stp>
        <stp>TOI</stp>
        <tr r="D9" s="1"/>
      </tp>
      <tp>
        <v>8.31</v>
        <stp/>
        <stp>NET_CHANGE</stp>
        <stp>SRRK</stp>
        <tr r="E5" s="1"/>
      </tp>
      <tp>
        <v>3.1349999999999998</v>
        <stp/>
        <stp>LOW</stp>
        <stp>TOI</stp>
        <tr r="Q9" s="1"/>
      </tp>
      <tp>
        <v>4.3899999999999997</v>
        <stp/>
        <stp>ASK</stp>
        <stp>PGEN</stp>
        <tr r="K15" s="1"/>
      </tp>
      <tp t="s">
        <v>instrument=XPON</v>
        <stp/>
        <stp>QUOTE_TREND</stp>
        <stp>XPON</stp>
        <tr r="C12" s="1"/>
      </tp>
      <tp t="s">
        <v>EXPION360 INC</v>
        <stp/>
        <stp>DESCRIPTION</stp>
        <stp>XPON</stp>
        <tr r="B12" s="1"/>
      </tp>
      <tp t="s">
        <v>instrument=IVVD</v>
        <stp/>
        <stp>QUOTE_TREND</stp>
        <stp>IVVD</stp>
        <tr r="C3" s="1"/>
      </tp>
      <tp>
        <v>1.72</v>
        <stp/>
        <stp>OPEN</stp>
        <stp>BCG</stp>
        <tr r="O4" s="1"/>
      </tp>
      <tp t="s">
        <v>instrument=AVDL</v>
        <stp/>
        <stp>QUOTE_TREND</stp>
        <stp>AVDL</stp>
        <tr r="C7" s="1"/>
      </tp>
      <tp>
        <v>1.19</v>
        <stp/>
        <stp>ASK</stp>
        <stp>LAZR</stp>
        <tr r="K13" s="1"/>
      </tp>
      <tp t="s">
        <v>BINAH CAP GROUP INC A</v>
        <stp/>
        <stp>DESCRIPTION</stp>
        <stp>BCG</stp>
        <tr r="B4" s="1"/>
      </tp>
      <tp t="s">
        <v>SCHOLAR ROCK HLDG CO</v>
        <stp/>
        <stp>DESCRIPTION</stp>
        <stp>SRRK</stp>
        <tr r="B5" s="1"/>
      </tp>
      <tp t="s">
        <v>instrument=MTC</v>
        <stp/>
        <stp>QUOTE_TREND</stp>
        <stp>MTC</stp>
        <tr r="C11" s="1"/>
      </tp>
      <tp>
        <v>0.625</v>
        <stp/>
        <stp>NET_CHANGE</stp>
        <stp>IVVD</stp>
        <tr r="E3" s="1"/>
      </tp>
      <tp>
        <v>3.8254999999999999</v>
        <stp/>
        <stp>NET_CHANGE</stp>
        <stp>AVDL</stp>
        <tr r="E7" s="1"/>
      </tp>
      <tp>
        <v>2.36</v>
        <stp/>
        <stp>BID</stp>
        <stp>CYPH</stp>
        <tr r="I2" s="1"/>
      </tp>
      <tp>
        <v>0.60499999999999998</v>
        <stp/>
        <stp>NET_CHANGE</stp>
        <stp>CYPH</stp>
        <tr r="E2" s="1"/>
      </tp>
      <tp t="s">
        <v>instrument=BCG</v>
        <stp/>
        <stp>QUOTE_TREND</stp>
        <stp>BCG</stp>
        <tr r="C4" s="1"/>
      </tp>
      <tp>
        <v>23.06</v>
        <stp/>
        <stp>BID</stp>
        <stp>AVDL</stp>
        <tr r="I7" s="1"/>
      </tp>
      <tp>
        <v>1.36</v>
        <stp/>
        <stp>LOW</stp>
        <stp>XPON</stp>
        <tr r="Q12" s="1"/>
      </tp>
      <tp>
        <v>2.39</v>
        <stp/>
        <stp>BID</stp>
        <stp>IVVD</stp>
        <tr r="I3" s="1"/>
      </tp>
      <tp t="s">
        <v>MMTEC INC</v>
        <stp/>
        <stp>DESCRIPTION</stp>
        <stp>MTC</stp>
        <tr r="B11" s="1"/>
      </tp>
      <tp>
        <v>3.29</v>
        <stp/>
        <stp>ASK</stp>
        <stp>CMBM</stp>
        <tr r="K6" s="1"/>
      </tp>
      <tp>
        <v>8.31</v>
        <stp/>
        <stp>ASK</stp>
        <stp>QMCO</stp>
        <tr r="K10" s="1"/>
      </tp>
      <tp>
        <v>7.04</v>
        <stp/>
        <stp>ASK</stp>
        <stp>OMER</stp>
        <tr r="K14" s="1"/>
      </tp>
      <tp>
        <v>3.27</v>
        <stp/>
        <stp>ASK</stp>
        <stp>AMPG</stp>
        <tr r="K8" s="1"/>
      </tp>
      <tp>
        <v>3.82</v>
        <stp/>
        <stp>HIGH</stp>
        <stp>TOI</stp>
        <tr r="P9" s="1"/>
      </tp>
      <tp t="s">
        <v>instrument=CYPH</v>
        <stp/>
        <stp>QUOTE_TREND</stp>
        <stp>CYPH</stp>
        <tr r="C2" s="1"/>
      </tp>
      <tp>
        <v>7.27</v>
        <stp/>
        <stp>ASK</stp>
        <stp>ONDS</stp>
        <tr r="K16" s="1"/>
      </tp>
      <tp>
        <v>34.25</v>
        <stp/>
        <stp>LOW</stp>
        <stp>SRRK</stp>
        <tr r="Q5" s="1"/>
      </tp>
      <tp>
        <v>2.57</v>
        <stp/>
        <stp>OPEN</stp>
        <stp>MTC</stp>
        <tr r="O11" s="1"/>
      </tp>
      <tp>
        <v>38.31</v>
        <stp/>
        <stp>BID</stp>
        <stp>SRRK</stp>
        <tr r="I5" s="1"/>
      </tp>
      <tp>
        <v>3.77</v>
        <stp/>
        <stp>BID</stp>
        <stp>TOI</stp>
        <tr r="I9" s="1"/>
      </tp>
      <tp>
        <v>39.6</v>
        <stp/>
        <stp>ASK</stp>
        <stp>FIGR</stp>
        <tr r="K17" s="1"/>
      </tp>
      <tp t="s">
        <v>CYPHERPUNK TECHNOLOG</v>
        <stp/>
        <stp>DESCRIPTION</stp>
        <stp>CYPH</stp>
        <tr r="B2" s="1"/>
      </tp>
      <tp>
        <v>3.79</v>
        <stp/>
        <stp>ASK</stp>
        <stp>TOI</stp>
        <tr r="K9" s="1"/>
      </tp>
      <tp>
        <v>1.38</v>
        <stp/>
        <stp>BID</stp>
        <stp>XPON</stp>
        <tr r="I12" s="1"/>
      </tp>
      <tp>
        <v>2.16</v>
        <stp/>
        <stp>LOW</stp>
        <stp>IVVD</stp>
        <tr r="Q3" s="1"/>
      </tp>
      <tp>
        <v>23.05</v>
        <stp/>
        <stp>LOW</stp>
        <stp>AVDL</stp>
        <tr r="Q7" s="1"/>
      </tp>
      <tp t="s">
        <v>+22.41%</v>
        <stp/>
        <stp>PERCENT_CHANGE</stp>
        <stp>TOI</stp>
        <tr r="F9" s="1"/>
      </tp>
      <tp>
        <v>0.12</v>
        <stp/>
        <stp>NET_CHANGE</stp>
        <stp>LAZR</stp>
        <tr r="E13" s="1"/>
      </tp>
      <tp t="s">
        <v>ONCOLOGY INST INC</v>
        <stp/>
        <stp>DESCRIPTION</stp>
        <stp>TOI</stp>
        <tr r="B9" s="1"/>
      </tp>
      <tp>
        <v>7.26</v>
        <stp/>
        <stp>BID</stp>
        <stp>ONDS</stp>
        <tr r="I16" s="1"/>
      </tp>
      <tp>
        <v>35.467100000000002</v>
        <stp/>
        <stp>LOW</stp>
        <stp>FIGR</stp>
        <tr r="Q17" s="1"/>
      </tp>
      <tp>
        <v>23.07</v>
        <stp/>
        <stp>ASK</stp>
        <stp>AVDL</stp>
        <tr r="K7" s="1"/>
      </tp>
      <tp t="s">
        <v>instrument=LAZR</v>
        <stp/>
        <stp>QUOTE_TREND</stp>
        <stp>LAZR</stp>
        <tr r="C13" s="1"/>
      </tp>
      <tp>
        <v>2.4</v>
        <stp/>
        <stp>ASK</stp>
        <stp>IVVD</stp>
        <tr r="K3" s="1"/>
      </tp>
      <tp t="s">
        <v>PRECIGEN INC</v>
        <stp/>
        <stp>DESCRIPTION</stp>
        <stp>PGEN</stp>
        <tr r="B15" s="1"/>
      </tp>
      <tp>
        <v>3.165</v>
        <stp/>
        <stp>OPEN</stp>
        <stp>TOI</stp>
        <tr r="O9" s="1"/>
      </tp>
      <tp>
        <v>6.99</v>
        <stp/>
        <stp>BID</stp>
        <stp>OMER</stp>
        <tr r="I14" s="1"/>
      </tp>
      <tp>
        <v>8.26</v>
        <stp/>
        <stp>BID</stp>
        <stp>QMCO</stp>
        <tr r="I10" s="1"/>
      </tp>
      <tp>
        <v>3.26</v>
        <stp/>
        <stp>BID</stp>
        <stp>CMBM</stp>
        <tr r="I6" s="1"/>
      </tp>
      <tp>
        <v>2.98</v>
        <stp/>
        <stp>HIGH</stp>
        <stp>MTC</stp>
        <tr r="P11" s="1"/>
      </tp>
      <tp>
        <v>3.26</v>
        <stp/>
        <stp>BID</stp>
        <stp>AMPG</stp>
        <tr r="I8" s="1"/>
      </tp>
      <tp>
        <v>2.91</v>
        <stp/>
        <stp>BID</stp>
        <stp>MTC</stp>
        <tr r="I11" s="1"/>
      </tp>
      <tp t="s">
        <v>loading</v>
        <stp/>
        <stp>MACD</stp>
        <stp>BCG</stp>
        <tr r="N4" s="1"/>
      </tp>
      <tp>
        <v>1.39</v>
        <stp/>
        <stp>ASK</stp>
        <stp>XPON</stp>
        <tr r="K12" s="1"/>
      </tp>
      <tp t="s">
        <v>instrument=PGEN</v>
        <stp/>
        <stp>QUOTE_TREND</stp>
        <stp>PGEN</stp>
        <tr r="C15" s="1"/>
      </tp>
      <tp>
        <v>1.8426</v>
        <stp/>
        <stp>LAST</stp>
        <stp>BCG</stp>
        <tr r="D4" s="1"/>
      </tp>
      <tp>
        <v>1.6950000000000001</v>
        <stp/>
        <stp>LOW</stp>
        <stp>BCG</stp>
        <tr r="Q4" s="1"/>
      </tp>
      <tp>
        <v>2.78</v>
        <stp/>
        <stp>LOW</stp>
        <stp>AMPG</stp>
        <tr r="Q8" s="1"/>
      </tp>
      <tp>
        <v>6.59</v>
        <stp/>
        <stp>LOW</stp>
        <stp>OMER</stp>
        <tr r="Q14" s="1"/>
      </tp>
      <tp>
        <v>2.86</v>
        <stp/>
        <stp>LOW</stp>
        <stp>CMBM</stp>
        <tr r="Q6" s="1"/>
      </tp>
      <tp>
        <v>7.43</v>
        <stp/>
        <stp>LOW</stp>
        <stp>QMCO</stp>
        <tr r="Q10" s="1"/>
      </tp>
      <tp t="s">
        <v>LUMINAR TECHNOLOGIES A</v>
        <stp/>
        <stp>DESCRIPTION</stp>
        <stp>LAZR</stp>
        <tr r="B13" s="1"/>
      </tp>
      <tp>
        <v>0.52500000000000002</v>
        <stp/>
        <stp>NET_CHANGE</stp>
        <stp>PGEN</stp>
        <tr r="E15" s="1"/>
      </tp>
      <tp>
        <v>38.450000000000003</v>
        <stp/>
        <stp>ASK</stp>
        <stp>SRRK</stp>
        <tr r="K5" s="1"/>
      </tp>
      <tp>
        <v>6.1</v>
        <stp/>
        <stp>LOW</stp>
        <stp>ONDS</stp>
        <tr r="Q16" s="1"/>
      </tp>
      <tp>
        <v>2.95</v>
        <stp/>
        <stp>ASK</stp>
        <stp>MTC</stp>
        <tr r="K11" s="1"/>
      </tp>
      <tp>
        <v>39.520000000000003</v>
        <stp/>
        <stp>BID</stp>
        <stp>FIGR</stp>
        <tr r="I17" s="1"/>
      </tp>
      <tp>
        <v>9513972</v>
        <stp/>
        <stp>VOLUME</stp>
        <stp>BCG</stp>
        <tr r="M4" s="1"/>
      </tp>
      <tp t="s">
        <v>+15.28%</v>
        <stp/>
        <stp>PERCENT_CHANGE</stp>
        <stp>MTC</stp>
        <tr r="F11" s="1"/>
      </tp>
      <tp>
        <v>1.85</v>
        <stp/>
        <stp>ASK</stp>
        <stp>BCG</stp>
        <tr r="K4" s="1"/>
      </tp>
      <tp>
        <v>4.88</v>
        <stp/>
        <stp>NET_CHANGE</stp>
        <stp>FIGR</stp>
        <tr r="E17" s="1"/>
      </tp>
      <tp t="s">
        <v>+29.31%</v>
        <stp/>
        <stp>PERCENT_CHANGE</stp>
        <stp>BCG</stp>
        <tr r="F4" s="1"/>
      </tp>
      <tp>
        <v>890247</v>
        <stp/>
        <stp>VOLUME</stp>
        <stp>MTC</stp>
        <tr r="M11" s="1"/>
      </tp>
      <tp t="s">
        <v>OMEROS CORP</v>
        <stp/>
        <stp>DESCRIPTION</stp>
        <stp>OMER</stp>
        <tr r="B14" s="1"/>
      </tp>
      <tp>
        <v>1.1499999999999999</v>
        <stp/>
        <stp>LOW</stp>
        <stp>LAZR</stp>
        <tr r="Q13" s="1"/>
      </tp>
      <tp t="s">
        <v>CAMBIUM NETWORKS COR</v>
        <stp/>
        <stp>DESCRIPTION</stp>
        <stp>CMBM</stp>
        <tr r="B6" s="1"/>
      </tp>
      <tp t="s">
        <v>QUANTUM CORP EQUITY Equity</v>
        <stp/>
        <stp>DESCRIPTION</stp>
        <stp>QMCO</stp>
        <tr r="B10" s="1"/>
      </tp>
      <tp>
        <v>4.38</v>
        <stp/>
        <stp>BID</stp>
        <stp>PGEN</stp>
        <tr r="I15" s="1"/>
      </tp>
      <tp t="s">
        <v>AMPLITECH GROUP INC.</v>
        <stp/>
        <stp>DESCRIPTION</stp>
        <stp>AMPG</stp>
        <tr r="B8" s="1"/>
      </tp>
      <tp>
        <v>2.57</v>
        <stp/>
        <stp>LOW</stp>
        <stp>MTC</stp>
        <tr r="Q11" s="1"/>
      </tp>
      <tp t="s">
        <v>ONDAS HLDGS INC</v>
        <stp/>
        <stp>DESCRIPTION</stp>
        <stp>ONDS</stp>
        <tr r="B16" s="1"/>
      </tp>
      <tp t="s">
        <v>instrument=FIGR</v>
        <stp/>
        <stp>QUOTE_TREND</stp>
        <stp>FIGR</stp>
        <tr r="C17" s="1"/>
      </tp>
      <tp>
        <v>1.84</v>
        <stp/>
        <stp>BID</stp>
        <stp>BCG</stp>
        <tr r="I4" s="1"/>
      </tp>
      <tp>
        <v>2.9167000000000001</v>
        <stp/>
        <stp>LAST</stp>
        <stp>MTC</stp>
        <tr r="D11" s="1"/>
      </tp>
      <tp t="s">
        <v>loading</v>
        <stp/>
        <stp>MACD</stp>
        <stp>MTC</stp>
        <tr r="N11" s="1"/>
      </tp>
      <tp>
        <v>0.60550000000000004</v>
        <stp/>
        <stp>NET_CHANGE</stp>
        <stp>AMPG</stp>
        <tr r="E8" s="1"/>
      </tp>
      <tp>
        <v>0.73499999999999999</v>
        <stp/>
        <stp>NET_CHANGE</stp>
        <stp>OMER</stp>
        <tr r="E14" s="1"/>
      </tp>
      <tp>
        <v>1.28</v>
        <stp/>
        <stp>NET_CHANGE</stp>
        <stp>QMCO</stp>
        <tr r="E10" s="1"/>
      </tp>
      <tp>
        <v>0.49990000000000001</v>
        <stp/>
        <stp>NET_CHANGE</stp>
        <stp>CMBM</stp>
        <tr r="E6" s="1"/>
      </tp>
      <tp>
        <v>1.9098999999999999</v>
        <stp/>
        <stp>HIGH</stp>
        <stp>BCG</stp>
        <tr r="P4" s="1"/>
      </tp>
      <tp t="s">
        <v>FIGURE TECHNOLOGY SO A</v>
        <stp/>
        <stp>DESCRIPTION</stp>
        <stp>FIGR</stp>
        <tr r="B17" s="1"/>
      </tp>
      <tp>
        <v>2.37</v>
        <stp/>
        <stp>ASK</stp>
        <stp>CYPH</stp>
        <tr r="K2" s="1"/>
      </tp>
      <tp t="s">
        <v>instrument=ONDS</v>
        <stp/>
        <stp>QUOTE_TREND</stp>
        <stp>ONDS</stp>
        <tr r="C16" s="1"/>
      </tp>
      <tp t="s">
        <v>instrument=TOI</v>
        <stp/>
        <stp>QUOTE_TREND</stp>
        <stp>TOI</stp>
        <tr r="C9" s="1"/>
      </tp>
      <tp t="s">
        <v>instrument=AMPG</v>
        <stp/>
        <stp>QUOTE_TREND</stp>
        <stp>AMPG</stp>
        <tr r="C8" s="1"/>
      </tp>
      <tp t="s">
        <v>instrument=OMER</v>
        <stp/>
        <stp>QUOTE_TREND</stp>
        <stp>OMER</stp>
        <tr r="C14" s="1"/>
      </tp>
      <tp t="s">
        <v>instrument=CMBM</v>
        <stp/>
        <stp>QUOTE_TREND</stp>
        <stp>CMBM</stp>
        <tr r="C6" s="1"/>
      </tp>
      <tp t="s">
        <v>instrument=QMCO</v>
        <stp/>
        <stp>QUOTE_TREND</stp>
        <stp>QMCO</stp>
        <tr r="C10" s="1"/>
      </tp>
      <tp>
        <v>0.70499999999999996</v>
        <stp/>
        <stp>NET_CHANGE</stp>
        <stp>ONDS</stp>
        <tr r="E16" s="1"/>
      </tp>
      <tp>
        <v>1.18</v>
        <stp/>
        <stp>BID</stp>
        <stp>LAZR</stp>
        <tr r="I13" s="1"/>
      </tp>
      <tp>
        <v>3.74</v>
        <stp/>
        <stp>LOW</stp>
        <stp>PGEN</stp>
        <tr r="Q15" s="1"/>
      </tp>
      <tp>
        <v>7.51</v>
        <stp/>
        <stp>HIGH</stp>
        <stp>ONDS</stp>
        <tr r="P16" s="1"/>
      </tp>
      <tp>
        <v>6.64</v>
        <stp/>
        <stp>OPEN</stp>
        <stp>OMER</stp>
        <tr r="O14" s="1"/>
      </tp>
      <tp>
        <v>2.91</v>
        <stp/>
        <stp>OPEN</stp>
        <stp>CMBM</stp>
        <tr r="O6" s="1"/>
      </tp>
      <tp>
        <v>7.45</v>
        <stp/>
        <stp>OPEN</stp>
        <stp>QMCO</stp>
        <tr r="O10" s="1"/>
      </tp>
      <tp>
        <v>2.8</v>
        <stp/>
        <stp>OPEN</stp>
        <stp>AMPG</stp>
        <tr r="O8" s="1"/>
      </tp>
      <tp>
        <v>6.165</v>
        <stp/>
        <stp>OPEN</stp>
        <stp>ONDS</stp>
        <tr r="O16" s="1"/>
      </tp>
      <tp t="s">
        <v>loading</v>
        <stp/>
        <stp>MACD</stp>
        <stp>FIGR</stp>
        <tr r="N17" s="1"/>
      </tp>
      <tp>
        <v>2.3650000000000002</v>
        <stp/>
        <stp>LAST</stp>
        <stp>CYPH</stp>
        <tr r="D2" s="1"/>
      </tp>
      <tp>
        <v>3.45</v>
        <stp/>
        <stp>HIGH</stp>
        <stp>CMBM</stp>
        <tr r="P6" s="1"/>
      </tp>
      <tp>
        <v>8.3800000000000008</v>
        <stp/>
        <stp>HIGH</stp>
        <stp>QMCO</stp>
        <tr r="P10" s="1"/>
      </tp>
      <tp>
        <v>7.26</v>
        <stp/>
        <stp>HIGH</stp>
        <stp>OMER</stp>
        <tr r="P14" s="1"/>
      </tp>
      <tp>
        <v>3.35</v>
        <stp/>
        <stp>HIGH</stp>
        <stp>AMPG</stp>
        <tr r="P8" s="1"/>
      </tp>
      <tp t="s">
        <v>loading</v>
        <stp/>
        <stp>MACD</stp>
        <stp>ONDS</stp>
        <tr r="N16" s="1"/>
      </tp>
      <tp>
        <v>35.5</v>
        <stp/>
        <stp>OPEN</stp>
        <stp>FIGR</stp>
        <tr r="O17" s="1"/>
      </tp>
      <tp t="s">
        <v>loading</v>
        <stp/>
        <stp>MACD</stp>
        <stp>OMER</stp>
        <tr r="N14" s="1"/>
      </tp>
      <tp t="s">
        <v>loading</v>
        <stp/>
        <stp>MACD</stp>
        <stp>CMBM</stp>
        <tr r="N6" s="1"/>
      </tp>
      <tp t="s">
        <v>loading</v>
        <stp/>
        <stp>MACD</stp>
        <stp>QMCO</stp>
        <tr r="N10" s="1"/>
      </tp>
      <tp>
        <v>39.85</v>
        <stp/>
        <stp>HIGH</stp>
        <stp>FIGR</stp>
        <tr r="P17" s="1"/>
      </tp>
      <tp t="s">
        <v>loading</v>
        <stp/>
        <stp>MACD</stp>
        <stp>AMPG</stp>
        <tr r="N8" s="1"/>
      </tp>
      <tp>
        <v>38.380000000000003</v>
        <stp/>
        <stp>LAST</stp>
        <stp>SRRK</stp>
        <tr r="D5" s="1"/>
      </tp>
      <tp>
        <v>4.45</v>
        <stp/>
        <stp>HIGH</stp>
        <stp>PGEN</stp>
        <tr r="P15" s="1"/>
      </tp>
      <tp>
        <v>1.38</v>
        <stp/>
        <stp>LAST</stp>
        <stp>XPON</stp>
        <tr r="D12" s="1"/>
      </tp>
      <tp>
        <v>3.78</v>
        <stp/>
        <stp>OPEN</stp>
        <stp>PGEN</stp>
        <tr r="O15" s="1"/>
      </tp>
      <tp t="s">
        <v>loading</v>
        <stp/>
        <stp>MACD</stp>
        <stp>LAZR</stp>
        <tr r="N13" s="1"/>
      </tp>
      <tp>
        <v>2.395</v>
        <stp/>
        <stp>LAST</stp>
        <stp>IVVD</stp>
        <tr r="D3" s="1"/>
      </tp>
      <tp>
        <v>23.0655</v>
        <stp/>
        <stp>LAST</stp>
        <stp>AVDL</stp>
        <tr r="D7" s="1"/>
      </tp>
      <tp t="s">
        <v>loading</v>
        <stp/>
        <stp>MACD</stp>
        <stp>PGEN</stp>
        <tr r="N15" s="1"/>
      </tp>
      <tp>
        <v>1.1499999999999999</v>
        <stp/>
        <stp>OPEN</stp>
        <stp>LAZR</stp>
        <tr r="O13" s="1"/>
      </tp>
      <tp>
        <v>1.26</v>
        <stp/>
        <stp>HIGH</stp>
        <stp>LAZR</stp>
        <tr r="P13" s="1"/>
      </tp>
      <tp>
        <v>39.47</v>
        <stp/>
        <stp>LAST</stp>
        <stp>FIGR</stp>
        <tr r="D17" s="1"/>
      </tp>
      <tp t="s">
        <v>loading</v>
        <stp/>
        <stp>MACD</stp>
        <stp>CYPH</stp>
        <tr r="N2" s="1"/>
      </tp>
      <tp>
        <v>7.2649999999999997</v>
        <stp/>
        <stp>LAST</stp>
        <stp>ONDS</stp>
        <tr r="D16" s="1"/>
      </tp>
      <tp>
        <v>2.06</v>
        <stp/>
        <stp>OPEN</stp>
        <stp>CYPH</stp>
        <tr r="O2" s="1"/>
      </tp>
      <tp>
        <v>3.2654999999999998</v>
        <stp/>
        <stp>LAST</stp>
        <stp>AMPG</stp>
        <tr r="D8" s="1"/>
      </tp>
      <tp>
        <v>7.0149999999999997</v>
        <stp/>
        <stp>LAST</stp>
        <stp>OMER</stp>
        <tr r="D14" s="1"/>
      </tp>
      <tp>
        <v>3.2898999999999998</v>
        <stp/>
        <stp>LAST</stp>
        <stp>CMBM</stp>
        <tr r="D6" s="1"/>
      </tp>
      <tp>
        <v>8.31</v>
        <stp/>
        <stp>LAST</stp>
        <stp>QMCO</stp>
        <tr r="D10" s="1"/>
      </tp>
      <tp>
        <v>2.64</v>
        <stp/>
        <stp>HIGH</stp>
        <stp>CYPH</stp>
        <tr r="P2" s="1"/>
      </tp>
      <tp>
        <v>23.39</v>
        <stp/>
        <stp>HIGH</stp>
        <stp>AVDL</stp>
        <tr r="P7" s="1"/>
      </tp>
      <tp t="s">
        <v>loading</v>
        <stp/>
        <stp>MACD</stp>
        <stp>SRRK</stp>
        <tr r="N5" s="1"/>
      </tp>
      <tp>
        <v>2.58</v>
        <stp/>
        <stp>HIGH</stp>
        <stp>IVVD</stp>
        <tr r="P3" s="1"/>
      </tp>
      <tp>
        <v>23.27</v>
        <stp/>
        <stp>OPEN</stp>
        <stp>AVDL</stp>
        <tr r="O7" s="1"/>
      </tp>
      <tp t="s">
        <v>loading</v>
        <stp/>
        <stp>MACD</stp>
        <stp>XPON</stp>
        <tr r="N12" s="1"/>
      </tp>
      <tp>
        <v>2.56</v>
        <stp/>
        <stp>OPEN</stp>
        <stp>IVVD</stp>
        <tr r="O3" s="1"/>
      </tp>
      <tp>
        <v>1.18</v>
        <stp/>
        <stp>LAST</stp>
        <stp>LAZR</stp>
        <tr r="D13" s="1"/>
      </tp>
      <tp t="s">
        <v>loading</v>
        <stp/>
        <stp>MACD</stp>
        <stp>AVDL</stp>
        <tr r="N7" s="1"/>
      </tp>
      <tp>
        <v>1.59</v>
        <stp/>
        <stp>OPEN</stp>
        <stp>XPON</stp>
        <tr r="O12" s="1"/>
      </tp>
      <tp t="s">
        <v>loading</v>
        <stp/>
        <stp>MACD</stp>
        <stp>IVVD</stp>
        <tr r="N3" s="1"/>
      </tp>
      <tp>
        <v>39.5</v>
        <stp/>
        <stp>HIGH</stp>
        <stp>SRRK</stp>
        <tr r="P5" s="1"/>
      </tp>
      <tp>
        <v>4.3849999999999998</v>
        <stp/>
        <stp>LAST</stp>
        <stp>PGEN</stp>
        <tr r="D15" s="1"/>
      </tp>
      <tp>
        <v>1.6</v>
        <stp/>
        <stp>HIGH</stp>
        <stp>XPON</stp>
        <tr r="P12" s="1"/>
      </tp>
      <tp>
        <v>34.979999999999997</v>
        <stp/>
        <stp>OPEN</stp>
        <stp>SRRK</stp>
        <tr r="O5" s="1"/>
      </tp>
      <tp>
        <v>800</v>
        <stp/>
        <stp>ASK_SIZE</stp>
        <stp>MTC</stp>
        <tr r="L11" s="1"/>
      </tp>
      <tp t="s">
        <v>loading</v>
        <stp/>
        <stp>CUSTOM2</stp>
        <stp>ONDS</stp>
        <tr r="H16" s="1"/>
      </tp>
      <tp t="s">
        <v>loading</v>
        <stp/>
        <stp>CUSTOM3</stp>
        <stp>ONDS</stp>
        <tr r="G16" s="1"/>
      </tp>
      <tp>
        <v>3775987</v>
        <stp/>
        <stp>VOLUME</stp>
        <stp>LAZR</stp>
        <tr r="M13" s="1"/>
      </tp>
      <tp t="s">
        <v>loading</v>
        <stp/>
        <stp>CUSTOM2</stp>
        <stp>CMBM</stp>
        <tr r="H6" s="1"/>
      </tp>
      <tp t="s">
        <v>loading</v>
        <stp/>
        <stp>CUSTOM3</stp>
        <stp>QMCO</stp>
        <tr r="G10" s="1"/>
      </tp>
      <tp t="s">
        <v>loading</v>
        <stp/>
        <stp>CUSTOM3</stp>
        <stp>CMBM</stp>
        <tr r="G6" s="1"/>
      </tp>
      <tp t="s">
        <v>loading</v>
        <stp/>
        <stp>CUSTOM2</stp>
        <stp>QMCO</stp>
        <tr r="H10" s="1"/>
      </tp>
      <tp t="s">
        <v>loading</v>
        <stp/>
        <stp>CUSTOM3</stp>
        <stp>OMER</stp>
        <tr r="G14" s="1"/>
      </tp>
      <tp t="s">
        <v>loading</v>
        <stp/>
        <stp>CUSTOM2</stp>
        <stp>OMER</stp>
        <tr r="H14" s="1"/>
      </tp>
      <tp t="s">
        <v>loading</v>
        <stp/>
        <stp>CUSTOM2</stp>
        <stp>AMPG</stp>
        <tr r="H8" s="1"/>
      </tp>
      <tp t="s">
        <v>loading</v>
        <stp/>
        <stp>CUSTOM3</stp>
        <stp>AMPG</stp>
        <tr r="G8" s="1"/>
      </tp>
      <tp t="s">
        <v>loading</v>
        <stp/>
        <stp>CUSTOM3</stp>
        <stp>TOI</stp>
        <tr r="G9" s="1"/>
      </tp>
      <tp t="s">
        <v>loading</v>
        <stp/>
        <stp>CUSTOM2</stp>
        <stp>TOI</stp>
        <tr r="H9" s="1"/>
      </tp>
      <tp t="s">
        <v>+14.11%</v>
        <stp/>
        <stp>PERCENT_CHANGE</stp>
        <stp>FIGR</stp>
        <tr r="F17" s="1"/>
      </tp>
      <tp>
        <v>1000</v>
        <stp/>
        <stp>BID_SIZE</stp>
        <stp>TOI</stp>
        <tr r="J9" s="1"/>
      </tp>
      <tp t="s">
        <v>+10.75%</v>
        <stp/>
        <stp>PERCENT_CHANGE</stp>
        <stp>ONDS</stp>
        <tr r="F16" s="1"/>
      </tp>
      <tp t="s">
        <v>loading</v>
        <stp/>
        <stp>CUSTOM3</stp>
        <stp>FIGR</stp>
        <tr r="G17" s="1"/>
      </tp>
      <tp t="s">
        <v>loading</v>
        <stp/>
        <stp>CUSTOM2</stp>
        <stp>FIGR</stp>
        <tr r="H17" s="1"/>
      </tp>
      <tp t="s">
        <v>+22.76%</v>
        <stp/>
        <stp>PERCENT_CHANGE</stp>
        <stp>AMPG</stp>
        <tr r="F8" s="1"/>
      </tp>
      <tp t="s">
        <v>+18.21%</v>
        <stp/>
        <stp>PERCENT_CHANGE</stp>
        <stp>QMCO</stp>
        <tr r="F10" s="1"/>
      </tp>
      <tp t="s">
        <v>+17.92%</v>
        <stp/>
        <stp>PERCENT_CHANGE</stp>
        <stp>CMBM</stp>
        <tr r="F6" s="1"/>
      </tp>
      <tp t="s">
        <v>+11.70%</v>
        <stp/>
        <stp>PERCENT_CHANGE</stp>
        <stp>OMER</stp>
        <tr r="F14" s="1"/>
      </tp>
      <tp>
        <v>1601100</v>
        <stp/>
        <stp>VOLUME</stp>
        <stp>PGEN</stp>
        <tr r="M15" s="1"/>
      </tp>
      <tp t="s">
        <v>loading</v>
        <stp/>
        <stp>CUSTOM3</stp>
        <stp>PGEN</stp>
        <tr r="G15" s="1"/>
      </tp>
      <tp t="s">
        <v>loading</v>
        <stp/>
        <stp>CUSTOM2</stp>
        <stp>PGEN</stp>
        <tr r="H15" s="1"/>
      </tp>
      <tp>
        <v>0.69010000000000005</v>
        <stp/>
        <stp>NET_CHANGE</stp>
        <stp>TOI</stp>
        <tr r="E9" s="1"/>
      </tp>
      <tp>
        <v>1322774</v>
        <stp/>
        <stp>VOLUME</stp>
        <stp>FIGR</stp>
        <tr r="M17" s="1"/>
      </tp>
      <tp t="s">
        <v>+11.32%</v>
        <stp/>
        <stp>PERCENT_CHANGE</stp>
        <stp>LAZR</stp>
        <tr r="F13" s="1"/>
      </tp>
      <tp>
        <v>2592737</v>
        <stp/>
        <stp>VOLUME</stp>
        <stp>AMPG</stp>
        <tr r="M8" s="1"/>
      </tp>
      <tp t="s">
        <v>+13.60%</v>
        <stp/>
        <stp>PERCENT_CHANGE</stp>
        <stp>PGEN</stp>
        <tr r="F15" s="1"/>
      </tp>
      <tp>
        <v>726748</v>
        <stp/>
        <stp>VOLUME</stp>
        <stp>OMER</stp>
        <tr r="M14" s="1"/>
      </tp>
      <tp>
        <v>1025711</v>
        <stp/>
        <stp>VOLUME</stp>
        <stp>QMCO</stp>
        <tr r="M10" s="1"/>
      </tp>
      <tp>
        <v>2163603</v>
        <stp/>
        <stp>VOLUME</stp>
        <stp>CMBM</stp>
        <tr r="M6" s="1"/>
      </tp>
      <tp t="s">
        <v>loading</v>
        <stp/>
        <stp>CUSTOM2</stp>
        <stp>LAZR</stp>
        <tr r="H13" s="1"/>
      </tp>
      <tp t="s">
        <v>loading</v>
        <stp/>
        <stp>CUSTOM3</stp>
        <stp>LAZR</stp>
        <tr r="G13" s="1"/>
      </tp>
      <tp>
        <v>31051756</v>
        <stp/>
        <stp>VOLUME</stp>
        <stp>ONDS</stp>
        <tr r="M16" s="1"/>
      </tp>
      <tp>
        <v>1100</v>
        <stp/>
        <stp>ASK_SIZE</stp>
        <stp>BCG</stp>
        <tr r="L4" s="1"/>
      </tp>
      <tp>
        <v>0.38669999999999999</v>
        <stp/>
        <stp>NET_CHANGE</stp>
        <stp>MTC</stp>
        <tr r="E11" s="1"/>
      </tp>
      <tp>
        <v>18982705</v>
        <stp/>
        <stp>VOLUME</stp>
        <stp>XPON</stp>
        <tr r="M12" s="1"/>
      </tp>
      <tp>
        <v>1608066</v>
        <stp/>
        <stp>VOLUME</stp>
        <stp>SRRK</stp>
        <tr r="M5" s="1"/>
      </tp>
      <tp t="s">
        <v>+34.38%</v>
        <stp/>
        <stp>PERCENT_CHANGE</stp>
        <stp>CYPH</stp>
        <tr r="F2" s="1"/>
      </tp>
      <tp t="s">
        <v>loading</v>
        <stp/>
        <stp>CUSTOM3</stp>
        <stp>BCG</stp>
        <tr r="G4" s="1"/>
      </tp>
      <tp t="s">
        <v>loading</v>
        <stp/>
        <stp>CUSTOM2</stp>
        <stp>BCG</stp>
        <tr r="H4" s="1"/>
      </tp>
      <tp>
        <v>3200</v>
        <stp/>
        <stp>BID_SIZE</stp>
        <stp>BCG</stp>
        <tr r="J4" s="1"/>
      </tp>
      <tp t="s">
        <v>loading</v>
        <stp/>
        <stp>CUSTOM2</stp>
        <stp>CYPH</stp>
        <tr r="H2" s="1"/>
      </tp>
      <tp t="s">
        <v>loading</v>
        <stp/>
        <stp>CUSTOM3</stp>
        <stp>CYPH</stp>
        <tr r="G2" s="1"/>
      </tp>
      <tp>
        <v>73831741</v>
        <stp/>
        <stp>VOLUME</stp>
        <stp>IVVD</stp>
        <tr r="M3" s="1"/>
      </tp>
      <tp>
        <v>3934547</v>
        <stp/>
        <stp>VOLUME</stp>
        <stp>AVDL</stp>
        <tr r="M7" s="1"/>
      </tp>
      <tp t="s">
        <v>+27.64%</v>
        <stp/>
        <stp>PERCENT_CHANGE</stp>
        <stp>SRRK</stp>
        <tr r="F5" s="1"/>
      </tp>
      <tp t="s">
        <v>loading</v>
        <stp/>
        <stp>CUSTOM2</stp>
        <stp>AVDL</stp>
        <tr r="H7" s="1"/>
      </tp>
      <tp t="s">
        <v>loading</v>
        <stp/>
        <stp>CUSTOM3</stp>
        <stp>AVDL</stp>
        <tr r="G7" s="1"/>
      </tp>
      <tp t="s">
        <v>loading</v>
        <stp/>
        <stp>CUSTOM2</stp>
        <stp>IVVD</stp>
        <tr r="H3" s="1"/>
      </tp>
      <tp t="s">
        <v>loading</v>
        <stp/>
        <stp>CUSTOM3</stp>
        <stp>IVVD</stp>
        <tr r="G3" s="1"/>
      </tp>
      <tp>
        <v>38958370</v>
        <stp/>
        <stp>VOLUME</stp>
        <stp>CYPH</stp>
        <tr r="M2" s="1"/>
      </tp>
      <tp>
        <v>300</v>
        <stp/>
        <stp>ASK_SIZE</stp>
        <stp>TOI</stp>
        <tr r="L9" s="1"/>
      </tp>
      <tp t="s">
        <v>loading</v>
        <stp/>
        <stp>CUSTOM3</stp>
        <stp>MTC</stp>
        <tr r="G11" s="1"/>
      </tp>
      <tp t="s">
        <v>loading</v>
        <stp/>
        <stp>CUSTOM2</stp>
        <stp>MTC</stp>
        <tr r="H11" s="1"/>
      </tp>
      <tp t="s">
        <v>+8.66%</v>
        <stp/>
        <stp>PERCENT_CHANGE</stp>
        <stp>XPON</stp>
        <tr r="F12" s="1"/>
      </tp>
      <tp>
        <v>1000</v>
        <stp/>
        <stp>BID_SIZE</stp>
        <stp>MTC</stp>
        <tr r="J11" s="1"/>
      </tp>
      <tp t="s">
        <v>+35.31%</v>
        <stp/>
        <stp>PERCENT_CHANGE</stp>
        <stp>IVVD</stp>
        <tr r="F3" s="1"/>
      </tp>
      <tp t="s">
        <v>+19.88%</v>
        <stp/>
        <stp>PERCENT_CHANGE</stp>
        <stp>AVDL</stp>
        <tr r="F7" s="1"/>
      </tp>
      <tp t="s">
        <v>loading</v>
        <stp/>
        <stp>CUSTOM2</stp>
        <stp>SRRK</stp>
        <tr r="H5" s="1"/>
      </tp>
      <tp t="s">
        <v>loading</v>
        <stp/>
        <stp>CUSTOM3</stp>
        <stp>SRRK</stp>
        <tr r="G5" s="1"/>
      </tp>
      <tp t="s">
        <v>loading</v>
        <stp/>
        <stp>CUSTOM3</stp>
        <stp>XPON</stp>
        <tr r="G12" s="1"/>
      </tp>
      <tp t="s">
        <v>loading</v>
        <stp/>
        <stp>CUSTOM2</stp>
        <stp>XPON</stp>
        <tr r="H12" s="1"/>
      </tp>
      <tp>
        <v>0.41760000000000003</v>
        <stp/>
        <stp>NET_CHANGE</stp>
        <stp>BCG</stp>
        <tr r="E4" s="1"/>
      </tp>
      <tp>
        <v>3500</v>
        <stp/>
        <stp>BID_SIZE</stp>
        <stp>IVVD</stp>
        <tr r="J3" s="1"/>
      </tp>
      <tp>
        <v>3100</v>
        <stp/>
        <stp>ASK_SIZE</stp>
        <stp>CYPH</stp>
        <tr r="L2" s="1"/>
      </tp>
      <tp>
        <v>500</v>
        <stp/>
        <stp>BID_SIZE</stp>
        <stp>AVDL</stp>
        <tr r="J7" s="1"/>
      </tp>
      <tp>
        <v>300</v>
        <stp/>
        <stp>BID_SIZE</stp>
        <stp>SRRK</stp>
        <tr r="J5" s="1"/>
      </tp>
      <tp>
        <v>1600</v>
        <stp/>
        <stp>BID_SIZE</stp>
        <stp>XPON</stp>
        <tr r="J12" s="1"/>
      </tp>
      <tp>
        <v>3700</v>
        <stp/>
        <stp>ASK_SIZE</stp>
        <stp>XPON</stp>
        <tr r="L12" s="1"/>
      </tp>
      <tp>
        <v>100</v>
        <stp/>
        <stp>ASK_SIZE</stp>
        <stp>SRRK</stp>
        <tr r="L5" s="1"/>
      </tp>
      <tp>
        <v>10800</v>
        <stp/>
        <stp>ASK_SIZE</stp>
        <stp>IVVD</stp>
        <tr r="L3" s="1"/>
      </tp>
      <tp>
        <v>2500</v>
        <stp/>
        <stp>BID_SIZE</stp>
        <stp>CYPH</stp>
        <tr r="J2" s="1"/>
      </tp>
      <tp>
        <v>800</v>
        <stp/>
        <stp>ASK_SIZE</stp>
        <stp>AVDL</stp>
        <tr r="L7" s="1"/>
      </tp>
      <tp>
        <v>400</v>
        <stp/>
        <stp>BID_SIZE</stp>
        <stp>PGEN</stp>
        <tr r="J15" s="1"/>
      </tp>
      <tp>
        <v>300</v>
        <stp/>
        <stp>ASK_SIZE</stp>
        <stp>FIGR</stp>
        <tr r="L17" s="1"/>
      </tp>
      <tp>
        <v>600</v>
        <stp/>
        <stp>ASK_SIZE</stp>
        <stp>AMPG</stp>
        <tr r="L8" s="1"/>
      </tp>
      <tp>
        <v>100</v>
        <stp/>
        <stp>ASK_SIZE</stp>
        <stp>OMER</stp>
        <tr r="L14" s="1"/>
      </tp>
      <tp>
        <v>300</v>
        <stp/>
        <stp>ASK_SIZE</stp>
        <stp>CMBM</stp>
        <tr r="L6" s="1"/>
      </tp>
      <tp>
        <v>400</v>
        <stp/>
        <stp>ASK_SIZE</stp>
        <stp>QMCO</stp>
        <tr r="L10" s="1"/>
      </tp>
      <tp>
        <v>8000</v>
        <stp/>
        <stp>BID_SIZE</stp>
        <stp>LAZR</stp>
        <tr r="J13" s="1"/>
      </tp>
      <tp>
        <v>2300</v>
        <stp/>
        <stp>ASK_SIZE</stp>
        <stp>ONDS</stp>
        <tr r="L16" s="1"/>
      </tp>
      <tp>
        <v>6600</v>
        <stp/>
        <stp>ASK_SIZE</stp>
        <stp>LAZR</stp>
        <tr r="L13" s="1"/>
      </tp>
      <tp>
        <v>500</v>
        <stp/>
        <stp>BID_SIZE</stp>
        <stp>ONDS</stp>
        <tr r="J16" s="1"/>
      </tp>
      <tp>
        <v>200</v>
        <stp/>
        <stp>BID_SIZE</stp>
        <stp>AMPG</stp>
        <tr r="J8" s="1"/>
      </tp>
      <tp>
        <v>200</v>
        <stp/>
        <stp>BID_SIZE</stp>
        <stp>OMER</stp>
        <tr r="J14" s="1"/>
      </tp>
      <tp>
        <v>300</v>
        <stp/>
        <stp>BID_SIZE</stp>
        <stp>CMBM</stp>
        <tr r="J6" s="1"/>
      </tp>
      <tp>
        <v>100</v>
        <stp/>
        <stp>BID_SIZE</stp>
        <stp>QMCO</stp>
        <tr r="J10" s="1"/>
      </tp>
      <tp>
        <v>700</v>
        <stp/>
        <stp>BID_SIZE</stp>
        <stp>FIGR</stp>
        <tr r="J17" s="1"/>
      </tp>
      <tp>
        <v>300</v>
        <stp/>
        <stp>ASK_SIZE</stp>
        <stp>PGEN</stp>
        <tr r="L1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56F9-DD99-4AD2-9C82-E412CD6E8181}">
  <dimension ref="A1:S17"/>
  <sheetViews>
    <sheetView tabSelected="1" workbookViewId="0">
      <selection activeCell="D16" sqref="D16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20</v>
      </c>
      <c r="B2" t="str">
        <f>RTD("tos.rtd", , "DESCRIPTION", "CYPH")</f>
        <v>CYPHERPUNK TECHNOLOG</v>
      </c>
      <c r="C2" t="str">
        <f>RTD("tos.rtd", , "QUOTE_TREND", "CYPH")</f>
        <v>instrument=CYPH</v>
      </c>
      <c r="D2">
        <f>RTD("tos.rtd", , "LAST", "CYPH")</f>
        <v>2.3650000000000002</v>
      </c>
      <c r="E2">
        <f>RTD("tos.rtd", , "NET_CHANGE", "CYPH")</f>
        <v>0.60499999999999998</v>
      </c>
      <c r="F2" t="str">
        <f>RTD("tos.rtd", , "PERCENT_CHANGE", "CYPH")</f>
        <v>+34.38%</v>
      </c>
      <c r="G2" t="str">
        <f>RTD("tos.rtd", , "CUSTOM3", "CYPH")</f>
        <v>loading</v>
      </c>
      <c r="H2" t="str">
        <f>RTD("tos.rtd", , "CUSTOM2", "CYPH")</f>
        <v>loading</v>
      </c>
      <c r="I2">
        <f>RTD("tos.rtd", , "BID", "CYPH")</f>
        <v>2.36</v>
      </c>
      <c r="J2">
        <f>RTD("tos.rtd", , "BID_SIZE", "CYPH")</f>
        <v>2500</v>
      </c>
      <c r="K2">
        <f>RTD("tos.rtd", , "ASK", "CYPH")</f>
        <v>2.37</v>
      </c>
      <c r="L2">
        <f>RTD("tos.rtd", , "ASK_SIZE", "CYPH")</f>
        <v>3100</v>
      </c>
      <c r="M2">
        <f>RTD("tos.rtd", , "VOLUME", "CYPH")</f>
        <v>38958370</v>
      </c>
      <c r="N2" t="str">
        <f>RTD("tos.rtd", , "MACD", "CYPH")</f>
        <v>loading</v>
      </c>
      <c r="O2">
        <f>RTD("tos.rtd", , "OPEN", "CYPH")</f>
        <v>2.06</v>
      </c>
      <c r="P2">
        <f>RTD("tos.rtd", , "HIGH", "CYPH")</f>
        <v>2.64</v>
      </c>
      <c r="Q2">
        <f>RTD("tos.rtd", , "LOW", "CYPH")</f>
        <v>1.8900999999999999</v>
      </c>
      <c r="R2">
        <v>3.58</v>
      </c>
      <c r="S2">
        <v>0.2223</v>
      </c>
    </row>
    <row r="3" spans="1:19" x14ac:dyDescent="0.25">
      <c r="A3" t="s">
        <v>21</v>
      </c>
      <c r="B3" t="str">
        <f>RTD("tos.rtd", , "DESCRIPTION", "IVVD")</f>
        <v>INVIVYD INC</v>
      </c>
      <c r="C3" t="str">
        <f>RTD("tos.rtd", , "QUOTE_TREND", "IVVD")</f>
        <v>instrument=IVVD</v>
      </c>
      <c r="D3">
        <f>RTD("tos.rtd", , "LAST", "IVVD")</f>
        <v>2.395</v>
      </c>
      <c r="E3">
        <f>RTD("tos.rtd", , "NET_CHANGE", "IVVD")</f>
        <v>0.625</v>
      </c>
      <c r="F3" t="str">
        <f>RTD("tos.rtd", , "PERCENT_CHANGE", "IVVD")</f>
        <v>+35.31%</v>
      </c>
      <c r="G3" t="str">
        <f>RTD("tos.rtd", , "CUSTOM3", "IVVD")</f>
        <v>loading</v>
      </c>
      <c r="H3" t="str">
        <f>RTD("tos.rtd", , "CUSTOM2", "IVVD")</f>
        <v>loading</v>
      </c>
      <c r="I3">
        <f>RTD("tos.rtd", , "BID", "IVVD")</f>
        <v>2.39</v>
      </c>
      <c r="J3">
        <f>RTD("tos.rtd", , "BID_SIZE", "IVVD")</f>
        <v>3500</v>
      </c>
      <c r="K3">
        <f>RTD("tos.rtd", , "ASK", "IVVD")</f>
        <v>2.4</v>
      </c>
      <c r="L3">
        <f>RTD("tos.rtd", , "ASK_SIZE", "IVVD")</f>
        <v>10800</v>
      </c>
      <c r="M3">
        <f>RTD("tos.rtd", , "VOLUME", "IVVD")</f>
        <v>73831741</v>
      </c>
      <c r="N3" t="str">
        <f>RTD("tos.rtd", , "MACD", "IVVD")</f>
        <v>loading</v>
      </c>
      <c r="O3">
        <f>RTD("tos.rtd", , "OPEN", "IVVD")</f>
        <v>2.56</v>
      </c>
      <c r="P3">
        <f>RTD("tos.rtd", , "HIGH", "IVVD")</f>
        <v>2.58</v>
      </c>
      <c r="Q3">
        <f>RTD("tos.rtd", , "LOW", "IVVD")</f>
        <v>2.16</v>
      </c>
      <c r="R3">
        <v>2.74</v>
      </c>
      <c r="S3">
        <v>0.35460000000000003</v>
      </c>
    </row>
    <row r="4" spans="1:19" x14ac:dyDescent="0.25">
      <c r="A4" t="s">
        <v>22</v>
      </c>
      <c r="B4" t="str">
        <f>RTD("tos.rtd", , "DESCRIPTION", "BCG")</f>
        <v>BINAH CAP GROUP INC A</v>
      </c>
      <c r="C4" t="str">
        <f>RTD("tos.rtd", , "QUOTE_TREND", "BCG")</f>
        <v>instrument=BCG</v>
      </c>
      <c r="D4">
        <f>RTD("tos.rtd", , "LAST", "BCG")</f>
        <v>1.8426</v>
      </c>
      <c r="E4">
        <f>RTD("tos.rtd", , "NET_CHANGE", "BCG")</f>
        <v>0.41760000000000003</v>
      </c>
      <c r="F4" t="str">
        <f>RTD("tos.rtd", , "PERCENT_CHANGE", "BCG")</f>
        <v>+29.31%</v>
      </c>
      <c r="G4" t="str">
        <f>RTD("tos.rtd", , "CUSTOM3", "BCG")</f>
        <v>loading</v>
      </c>
      <c r="H4" t="str">
        <f>RTD("tos.rtd", , "CUSTOM2", "BCG")</f>
        <v>loading</v>
      </c>
      <c r="I4">
        <f>RTD("tos.rtd", , "BID", "BCG")</f>
        <v>1.84</v>
      </c>
      <c r="J4">
        <f>RTD("tos.rtd", , "BID_SIZE", "BCG")</f>
        <v>3200</v>
      </c>
      <c r="K4">
        <f>RTD("tos.rtd", , "ASK", "BCG")</f>
        <v>1.85</v>
      </c>
      <c r="L4">
        <f>RTD("tos.rtd", , "ASK_SIZE", "BCG")</f>
        <v>1100</v>
      </c>
      <c r="M4">
        <f>RTD("tos.rtd", , "VOLUME", "BCG")</f>
        <v>9513972</v>
      </c>
      <c r="N4" t="str">
        <f>RTD("tos.rtd", , "MACD", "BCG")</f>
        <v>loading</v>
      </c>
      <c r="O4">
        <f>RTD("tos.rtd", , "OPEN", "BCG")</f>
        <v>1.72</v>
      </c>
      <c r="P4">
        <f>RTD("tos.rtd", , "HIGH", "BCG")</f>
        <v>1.9098999999999999</v>
      </c>
      <c r="Q4">
        <f>RTD("tos.rtd", , "LOW", "BCG")</f>
        <v>1.6950000000000001</v>
      </c>
      <c r="R4">
        <v>6</v>
      </c>
      <c r="S4">
        <v>1.36</v>
      </c>
    </row>
    <row r="5" spans="1:19" x14ac:dyDescent="0.25">
      <c r="A5" t="s">
        <v>23</v>
      </c>
      <c r="B5" t="str">
        <f>RTD("tos.rtd", , "DESCRIPTION", "SRRK")</f>
        <v>SCHOLAR ROCK HLDG CO</v>
      </c>
      <c r="C5" t="str">
        <f>RTD("tos.rtd", , "QUOTE_TREND", "SRRK")</f>
        <v>instrument=SRRK</v>
      </c>
      <c r="D5">
        <f>RTD("tos.rtd", , "LAST", "SRRK")</f>
        <v>38.380000000000003</v>
      </c>
      <c r="E5">
        <f>RTD("tos.rtd", , "NET_CHANGE", "SRRK")</f>
        <v>8.31</v>
      </c>
      <c r="F5" t="str">
        <f>RTD("tos.rtd", , "PERCENT_CHANGE", "SRRK")</f>
        <v>+27.64%</v>
      </c>
      <c r="G5" t="str">
        <f>RTD("tos.rtd", , "CUSTOM3", "SRRK")</f>
        <v>loading</v>
      </c>
      <c r="H5" t="str">
        <f>RTD("tos.rtd", , "CUSTOM2", "SRRK")</f>
        <v>loading</v>
      </c>
      <c r="I5">
        <f>RTD("tos.rtd", , "BID", "SRRK")</f>
        <v>38.31</v>
      </c>
      <c r="J5">
        <f>RTD("tos.rtd", , "BID_SIZE", "SRRK")</f>
        <v>300</v>
      </c>
      <c r="K5">
        <f>RTD("tos.rtd", , "ASK", "SRRK")</f>
        <v>38.450000000000003</v>
      </c>
      <c r="L5">
        <f>RTD("tos.rtd", , "ASK_SIZE", "SRRK")</f>
        <v>100</v>
      </c>
      <c r="M5">
        <f>RTD("tos.rtd", , "VOLUME", "SRRK")</f>
        <v>1608066</v>
      </c>
      <c r="N5" t="str">
        <f>RTD("tos.rtd", , "MACD", "SRRK")</f>
        <v>loading</v>
      </c>
      <c r="O5">
        <f>RTD("tos.rtd", , "OPEN", "SRRK")</f>
        <v>34.979999999999997</v>
      </c>
      <c r="P5">
        <f>RTD("tos.rtd", , "HIGH", "SRRK")</f>
        <v>39.5</v>
      </c>
      <c r="Q5">
        <f>RTD("tos.rtd", , "LOW", "SRRK")</f>
        <v>34.25</v>
      </c>
      <c r="R5">
        <v>46.98</v>
      </c>
      <c r="S5">
        <v>22.71</v>
      </c>
    </row>
    <row r="6" spans="1:19" x14ac:dyDescent="0.25">
      <c r="A6" t="s">
        <v>24</v>
      </c>
      <c r="B6" t="str">
        <f>RTD("tos.rtd", , "DESCRIPTION", "CMBM")</f>
        <v>CAMBIUM NETWORKS COR</v>
      </c>
      <c r="C6" t="str">
        <f>RTD("tos.rtd", , "QUOTE_TREND", "CMBM")</f>
        <v>instrument=CMBM</v>
      </c>
      <c r="D6">
        <f>RTD("tos.rtd", , "LAST", "CMBM")</f>
        <v>3.2898999999999998</v>
      </c>
      <c r="E6">
        <f>RTD("tos.rtd", , "NET_CHANGE", "CMBM")</f>
        <v>0.49990000000000001</v>
      </c>
      <c r="F6" t="str">
        <f>RTD("tos.rtd", , "PERCENT_CHANGE", "CMBM")</f>
        <v>+17.92%</v>
      </c>
      <c r="G6" t="str">
        <f>RTD("tos.rtd", , "CUSTOM3", "CMBM")</f>
        <v>loading</v>
      </c>
      <c r="H6" t="str">
        <f>RTD("tos.rtd", , "CUSTOM2", "CMBM")</f>
        <v>loading</v>
      </c>
      <c r="I6">
        <f>RTD("tos.rtd", , "BID", "CMBM")</f>
        <v>3.26</v>
      </c>
      <c r="J6">
        <f>RTD("tos.rtd", , "BID_SIZE", "CMBM")</f>
        <v>300</v>
      </c>
      <c r="K6">
        <f>RTD("tos.rtd", , "ASK", "CMBM")</f>
        <v>3.29</v>
      </c>
      <c r="L6">
        <f>RTD("tos.rtd", , "ASK_SIZE", "CMBM")</f>
        <v>300</v>
      </c>
      <c r="M6">
        <f>RTD("tos.rtd", , "VOLUME", "CMBM")</f>
        <v>2163603</v>
      </c>
      <c r="N6" t="str">
        <f>RTD("tos.rtd", , "MACD", "CMBM")</f>
        <v>loading</v>
      </c>
      <c r="O6">
        <f>RTD("tos.rtd", , "OPEN", "CMBM")</f>
        <v>2.91</v>
      </c>
      <c r="P6">
        <f>RTD("tos.rtd", , "HIGH", "CMBM")</f>
        <v>3.45</v>
      </c>
      <c r="Q6">
        <f>RTD("tos.rtd", , "LOW", "CMBM")</f>
        <v>2.86</v>
      </c>
      <c r="R6">
        <v>6.8</v>
      </c>
      <c r="S6">
        <v>0.23139999999999999</v>
      </c>
    </row>
    <row r="7" spans="1:19" x14ac:dyDescent="0.25">
      <c r="A7" t="s">
        <v>25</v>
      </c>
      <c r="B7" t="str">
        <f>RTD("tos.rtd", , "DESCRIPTION", "AVDL")</f>
        <v>AVADEL PHARMACEUTICA</v>
      </c>
      <c r="C7" t="str">
        <f>RTD("tos.rtd", , "QUOTE_TREND", "AVDL")</f>
        <v>instrument=AVDL</v>
      </c>
      <c r="D7">
        <f>RTD("tos.rtd", , "LAST", "AVDL")</f>
        <v>23.0655</v>
      </c>
      <c r="E7">
        <f>RTD("tos.rtd", , "NET_CHANGE", "AVDL")</f>
        <v>3.8254999999999999</v>
      </c>
      <c r="F7" t="str">
        <f>RTD("tos.rtd", , "PERCENT_CHANGE", "AVDL")</f>
        <v>+19.88%</v>
      </c>
      <c r="G7" t="str">
        <f>RTD("tos.rtd", , "CUSTOM3", "AVDL")</f>
        <v>loading</v>
      </c>
      <c r="H7" t="str">
        <f>RTD("tos.rtd", , "CUSTOM2", "AVDL")</f>
        <v>loading</v>
      </c>
      <c r="I7">
        <f>RTD("tos.rtd", , "BID", "AVDL")</f>
        <v>23.06</v>
      </c>
      <c r="J7">
        <f>RTD("tos.rtd", , "BID_SIZE", "AVDL")</f>
        <v>500</v>
      </c>
      <c r="K7">
        <f>RTD("tos.rtd", , "ASK", "AVDL")</f>
        <v>23.07</v>
      </c>
      <c r="L7">
        <f>RTD("tos.rtd", , "ASK_SIZE", "AVDL")</f>
        <v>800</v>
      </c>
      <c r="M7">
        <f>RTD("tos.rtd", , "VOLUME", "AVDL")</f>
        <v>3934547</v>
      </c>
      <c r="N7" t="str">
        <f>RTD("tos.rtd", , "MACD", "AVDL")</f>
        <v>loading</v>
      </c>
      <c r="O7">
        <f>RTD("tos.rtd", , "OPEN", "AVDL")</f>
        <v>23.27</v>
      </c>
      <c r="P7">
        <f>RTD("tos.rtd", , "HIGH", "AVDL")</f>
        <v>23.39</v>
      </c>
      <c r="Q7">
        <f>RTD("tos.rtd", , "LOW", "AVDL")</f>
        <v>23.05</v>
      </c>
      <c r="R7">
        <v>23.39</v>
      </c>
      <c r="S7">
        <v>6.38</v>
      </c>
    </row>
    <row r="8" spans="1:19" x14ac:dyDescent="0.25">
      <c r="A8" t="s">
        <v>26</v>
      </c>
      <c r="B8" t="str">
        <f>RTD("tos.rtd", , "DESCRIPTION", "AMPG")</f>
        <v>AMPLITECH GROUP INC.</v>
      </c>
      <c r="C8" t="str">
        <f>RTD("tos.rtd", , "QUOTE_TREND", "AMPG")</f>
        <v>instrument=AMPG</v>
      </c>
      <c r="D8">
        <f>RTD("tos.rtd", , "LAST", "AMPG")</f>
        <v>3.2654999999999998</v>
      </c>
      <c r="E8">
        <f>RTD("tos.rtd", , "NET_CHANGE", "AMPG")</f>
        <v>0.60550000000000004</v>
      </c>
      <c r="F8" t="str">
        <f>RTD("tos.rtd", , "PERCENT_CHANGE", "AMPG")</f>
        <v>+22.76%</v>
      </c>
      <c r="G8" t="str">
        <f>RTD("tos.rtd", , "CUSTOM3", "AMPG")</f>
        <v>loading</v>
      </c>
      <c r="H8" t="str">
        <f>RTD("tos.rtd", , "CUSTOM2", "AMPG")</f>
        <v>loading</v>
      </c>
      <c r="I8">
        <f>RTD("tos.rtd", , "BID", "AMPG")</f>
        <v>3.26</v>
      </c>
      <c r="J8">
        <f>RTD("tos.rtd", , "BID_SIZE", "AMPG")</f>
        <v>200</v>
      </c>
      <c r="K8">
        <f>RTD("tos.rtd", , "ASK", "AMPG")</f>
        <v>3.27</v>
      </c>
      <c r="L8">
        <f>RTD("tos.rtd", , "ASK_SIZE", "AMPG")</f>
        <v>600</v>
      </c>
      <c r="M8">
        <f>RTD("tos.rtd", , "VOLUME", "AMPG")</f>
        <v>2592737</v>
      </c>
      <c r="N8" t="str">
        <f>RTD("tos.rtd", , "MACD", "AMPG")</f>
        <v>loading</v>
      </c>
      <c r="O8">
        <f>RTD("tos.rtd", , "OPEN", "AMPG")</f>
        <v>2.8</v>
      </c>
      <c r="P8">
        <f>RTD("tos.rtd", , "HIGH", "AMPG")</f>
        <v>3.35</v>
      </c>
      <c r="Q8">
        <f>RTD("tos.rtd", , "LOW", "AMPG")</f>
        <v>2.78</v>
      </c>
      <c r="R8">
        <v>6.43</v>
      </c>
      <c r="S8">
        <v>0.78059999999999996</v>
      </c>
    </row>
    <row r="9" spans="1:19" x14ac:dyDescent="0.25">
      <c r="A9" t="s">
        <v>27</v>
      </c>
      <c r="B9" t="str">
        <f>RTD("tos.rtd", , "DESCRIPTION", "TOI")</f>
        <v>ONCOLOGY INST INC</v>
      </c>
      <c r="C9" t="str">
        <f>RTD("tos.rtd", , "QUOTE_TREND", "TOI")</f>
        <v>instrument=TOI</v>
      </c>
      <c r="D9">
        <f>RTD("tos.rtd", , "LAST", "TOI")</f>
        <v>3.7700999999999998</v>
      </c>
      <c r="E9">
        <f>RTD("tos.rtd", , "NET_CHANGE", "TOI")</f>
        <v>0.69010000000000005</v>
      </c>
      <c r="F9" t="str">
        <f>RTD("tos.rtd", , "PERCENT_CHANGE", "TOI")</f>
        <v>+22.41%</v>
      </c>
      <c r="G9" t="str">
        <f>RTD("tos.rtd", , "CUSTOM3", "TOI")</f>
        <v>loading</v>
      </c>
      <c r="H9" t="str">
        <f>RTD("tos.rtd", , "CUSTOM2", "TOI")</f>
        <v>loading</v>
      </c>
      <c r="I9">
        <f>RTD("tos.rtd", , "BID", "TOI")</f>
        <v>3.77</v>
      </c>
      <c r="J9">
        <f>RTD("tos.rtd", , "BID_SIZE", "TOI")</f>
        <v>1000</v>
      </c>
      <c r="K9">
        <f>RTD("tos.rtd", , "ASK", "TOI")</f>
        <v>3.79</v>
      </c>
      <c r="L9">
        <f>RTD("tos.rtd", , "ASK_SIZE", "TOI")</f>
        <v>300</v>
      </c>
      <c r="M9">
        <f>RTD("tos.rtd", , "VOLUME", "TOI")</f>
        <v>1422032</v>
      </c>
      <c r="N9" t="str">
        <f>RTD("tos.rtd", , "MACD", "TOI")</f>
        <v>loading</v>
      </c>
      <c r="O9">
        <f>RTD("tos.rtd", , "OPEN", "TOI")</f>
        <v>3.165</v>
      </c>
      <c r="P9">
        <f>RTD("tos.rtd", , "HIGH", "TOI")</f>
        <v>3.82</v>
      </c>
      <c r="Q9">
        <f>RTD("tos.rtd", , "LOW", "TOI")</f>
        <v>3.1349999999999998</v>
      </c>
      <c r="R9">
        <v>4.88</v>
      </c>
      <c r="S9">
        <v>0.12529999999999999</v>
      </c>
    </row>
    <row r="10" spans="1:19" x14ac:dyDescent="0.25">
      <c r="A10" t="s">
        <v>28</v>
      </c>
      <c r="B10" t="str">
        <f>RTD("tos.rtd", , "DESCRIPTION", "QMCO")</f>
        <v>QUANTUM CORP EQUITY Equity</v>
      </c>
      <c r="C10" t="str">
        <f>RTD("tos.rtd", , "QUOTE_TREND", "QMCO")</f>
        <v>instrument=QMCO</v>
      </c>
      <c r="D10">
        <f>RTD("tos.rtd", , "LAST", "QMCO")</f>
        <v>8.31</v>
      </c>
      <c r="E10">
        <f>RTD("tos.rtd", , "NET_CHANGE", "QMCO")</f>
        <v>1.28</v>
      </c>
      <c r="F10" t="str">
        <f>RTD("tos.rtd", , "PERCENT_CHANGE", "QMCO")</f>
        <v>+18.21%</v>
      </c>
      <c r="G10" t="str">
        <f>RTD("tos.rtd", , "CUSTOM3", "QMCO")</f>
        <v>loading</v>
      </c>
      <c r="H10" t="str">
        <f>RTD("tos.rtd", , "CUSTOM2", "QMCO")</f>
        <v>loading</v>
      </c>
      <c r="I10">
        <f>RTD("tos.rtd", , "BID", "QMCO")</f>
        <v>8.26</v>
      </c>
      <c r="J10">
        <f>RTD("tos.rtd", , "BID_SIZE", "QMCO")</f>
        <v>100</v>
      </c>
      <c r="K10">
        <f>RTD("tos.rtd", , "ASK", "QMCO")</f>
        <v>8.31</v>
      </c>
      <c r="L10">
        <f>RTD("tos.rtd", , "ASK_SIZE", "QMCO")</f>
        <v>400</v>
      </c>
      <c r="M10">
        <f>RTD("tos.rtd", , "VOLUME", "QMCO")</f>
        <v>1025711</v>
      </c>
      <c r="N10" t="str">
        <f>RTD("tos.rtd", , "MACD", "QMCO")</f>
        <v>loading</v>
      </c>
      <c r="O10">
        <f>RTD("tos.rtd", , "OPEN", "QMCO")</f>
        <v>7.45</v>
      </c>
      <c r="P10">
        <f>RTD("tos.rtd", , "HIGH", "QMCO")</f>
        <v>8.3800000000000008</v>
      </c>
      <c r="Q10">
        <f>RTD("tos.rtd", , "LOW", "QMCO")</f>
        <v>7.43</v>
      </c>
      <c r="R10">
        <v>90.64</v>
      </c>
      <c r="S10">
        <v>2.88</v>
      </c>
    </row>
    <row r="11" spans="1:19" x14ac:dyDescent="0.25">
      <c r="A11" t="s">
        <v>29</v>
      </c>
      <c r="B11" t="str">
        <f>RTD("tos.rtd", , "DESCRIPTION", "MTC")</f>
        <v>MMTEC INC</v>
      </c>
      <c r="C11" t="str">
        <f>RTD("tos.rtd", , "QUOTE_TREND", "MTC")</f>
        <v>instrument=MTC</v>
      </c>
      <c r="D11">
        <f>RTD("tos.rtd", , "LAST", "MTC")</f>
        <v>2.9167000000000001</v>
      </c>
      <c r="E11">
        <f>RTD("tos.rtd", , "NET_CHANGE", "MTC")</f>
        <v>0.38669999999999999</v>
      </c>
      <c r="F11" t="str">
        <f>RTD("tos.rtd", , "PERCENT_CHANGE", "MTC")</f>
        <v>+15.28%</v>
      </c>
      <c r="G11" t="str">
        <f>RTD("tos.rtd", , "CUSTOM3", "MTC")</f>
        <v>loading</v>
      </c>
      <c r="H11" t="str">
        <f>RTD("tos.rtd", , "CUSTOM2", "MTC")</f>
        <v>loading</v>
      </c>
      <c r="I11">
        <f>RTD("tos.rtd", , "BID", "MTC")</f>
        <v>2.91</v>
      </c>
      <c r="J11">
        <f>RTD("tos.rtd", , "BID_SIZE", "MTC")</f>
        <v>1000</v>
      </c>
      <c r="K11">
        <f>RTD("tos.rtd", , "ASK", "MTC")</f>
        <v>2.95</v>
      </c>
      <c r="L11">
        <f>RTD("tos.rtd", , "ASK_SIZE", "MTC")</f>
        <v>800</v>
      </c>
      <c r="M11">
        <f>RTD("tos.rtd", , "VOLUME", "MTC")</f>
        <v>890247</v>
      </c>
      <c r="N11" t="str">
        <f>RTD("tos.rtd", , "MACD", "MTC")</f>
        <v>loading</v>
      </c>
      <c r="O11">
        <f>RTD("tos.rtd", , "OPEN", "MTC")</f>
        <v>2.57</v>
      </c>
      <c r="P11">
        <f>RTD("tos.rtd", , "HIGH", "MTC")</f>
        <v>2.98</v>
      </c>
      <c r="Q11">
        <f>RTD("tos.rtd", , "LOW", "MTC")</f>
        <v>2.57</v>
      </c>
      <c r="R11">
        <v>3.89</v>
      </c>
      <c r="S11">
        <v>0.251</v>
      </c>
    </row>
    <row r="12" spans="1:19" x14ac:dyDescent="0.25">
      <c r="A12" t="s">
        <v>30</v>
      </c>
      <c r="B12" t="str">
        <f>RTD("tos.rtd", , "DESCRIPTION", "XPON")</f>
        <v>EXPION360 INC</v>
      </c>
      <c r="C12" t="str">
        <f>RTD("tos.rtd", , "QUOTE_TREND", "XPON")</f>
        <v>instrument=XPON</v>
      </c>
      <c r="D12">
        <f>RTD("tos.rtd", , "LAST", "XPON")</f>
        <v>1.38</v>
      </c>
      <c r="E12">
        <f>RTD("tos.rtd", , "NET_CHANGE", "XPON")</f>
        <v>0.11</v>
      </c>
      <c r="F12" t="str">
        <f>RTD("tos.rtd", , "PERCENT_CHANGE", "XPON")</f>
        <v>+8.66%</v>
      </c>
      <c r="G12" t="str">
        <f>RTD("tos.rtd", , "CUSTOM3", "XPON")</f>
        <v>loading</v>
      </c>
      <c r="H12" t="str">
        <f>RTD("tos.rtd", , "CUSTOM2", "XPON")</f>
        <v>loading</v>
      </c>
      <c r="I12">
        <f>RTD("tos.rtd", , "BID", "XPON")</f>
        <v>1.38</v>
      </c>
      <c r="J12">
        <f>RTD("tos.rtd", , "BID_SIZE", "XPON")</f>
        <v>1600</v>
      </c>
      <c r="K12">
        <f>RTD("tos.rtd", , "ASK", "XPON")</f>
        <v>1.39</v>
      </c>
      <c r="L12">
        <f>RTD("tos.rtd", , "ASK_SIZE", "XPON")</f>
        <v>3700</v>
      </c>
      <c r="M12">
        <f>RTD("tos.rtd", , "VOLUME", "XPON")</f>
        <v>18982705</v>
      </c>
      <c r="N12" t="str">
        <f>RTD("tos.rtd", , "MACD", "XPON")</f>
        <v>loading</v>
      </c>
      <c r="O12">
        <f>RTD("tos.rtd", , "OPEN", "XPON")</f>
        <v>1.59</v>
      </c>
      <c r="P12">
        <f>RTD("tos.rtd", , "HIGH", "XPON")</f>
        <v>1.6</v>
      </c>
      <c r="Q12">
        <f>RTD("tos.rtd", , "LOW", "XPON")</f>
        <v>1.36</v>
      </c>
      <c r="R12">
        <v>5.5</v>
      </c>
      <c r="S12">
        <v>0.6</v>
      </c>
    </row>
    <row r="13" spans="1:19" x14ac:dyDescent="0.25">
      <c r="A13" t="s">
        <v>31</v>
      </c>
      <c r="B13" t="str">
        <f>RTD("tos.rtd", , "DESCRIPTION", "LAZR")</f>
        <v>LUMINAR TECHNOLOGIES A</v>
      </c>
      <c r="C13" t="str">
        <f>RTD("tos.rtd", , "QUOTE_TREND", "LAZR")</f>
        <v>instrument=LAZR</v>
      </c>
      <c r="D13">
        <f>RTD("tos.rtd", , "LAST", "LAZR")</f>
        <v>1.18</v>
      </c>
      <c r="E13">
        <f>RTD("tos.rtd", , "NET_CHANGE", "LAZR")</f>
        <v>0.12</v>
      </c>
      <c r="F13" t="str">
        <f>RTD("tos.rtd", , "PERCENT_CHANGE", "LAZR")</f>
        <v>+11.32%</v>
      </c>
      <c r="G13" t="str">
        <f>RTD("tos.rtd", , "CUSTOM3", "LAZR")</f>
        <v>loading</v>
      </c>
      <c r="H13" t="str">
        <f>RTD("tos.rtd", , "CUSTOM2", "LAZR")</f>
        <v>loading</v>
      </c>
      <c r="I13">
        <f>RTD("tos.rtd", , "BID", "LAZR")</f>
        <v>1.18</v>
      </c>
      <c r="J13">
        <f>RTD("tos.rtd", , "BID_SIZE", "LAZR")</f>
        <v>8000</v>
      </c>
      <c r="K13">
        <f>RTD("tos.rtd", , "ASK", "LAZR")</f>
        <v>1.19</v>
      </c>
      <c r="L13">
        <f>RTD("tos.rtd", , "ASK_SIZE", "LAZR")</f>
        <v>6600</v>
      </c>
      <c r="M13">
        <f>RTD("tos.rtd", , "VOLUME", "LAZR")</f>
        <v>3775987</v>
      </c>
      <c r="N13" t="str">
        <f>RTD("tos.rtd", , "MACD", "LAZR")</f>
        <v>loading</v>
      </c>
      <c r="O13">
        <f>RTD("tos.rtd", , "OPEN", "LAZR")</f>
        <v>1.1499999999999999</v>
      </c>
      <c r="P13">
        <f>RTD("tos.rtd", , "HIGH", "LAZR")</f>
        <v>1.26</v>
      </c>
      <c r="Q13">
        <f>RTD("tos.rtd", , "LOW", "LAZR")</f>
        <v>1.1499999999999999</v>
      </c>
      <c r="R13">
        <v>15.6</v>
      </c>
      <c r="S13">
        <v>1.05</v>
      </c>
    </row>
    <row r="14" spans="1:19" x14ac:dyDescent="0.25">
      <c r="A14" t="s">
        <v>32</v>
      </c>
      <c r="B14" t="str">
        <f>RTD("tos.rtd", , "DESCRIPTION", "OMER")</f>
        <v>OMEROS CORP</v>
      </c>
      <c r="C14" t="str">
        <f>RTD("tos.rtd", , "QUOTE_TREND", "OMER")</f>
        <v>instrument=OMER</v>
      </c>
      <c r="D14">
        <f>RTD("tos.rtd", , "LAST", "OMER")</f>
        <v>7.0149999999999997</v>
      </c>
      <c r="E14">
        <f>RTD("tos.rtd", , "NET_CHANGE", "OMER")</f>
        <v>0.73499999999999999</v>
      </c>
      <c r="F14" t="str">
        <f>RTD("tos.rtd", , "PERCENT_CHANGE", "OMER")</f>
        <v>+11.70%</v>
      </c>
      <c r="G14" t="str">
        <f>RTD("tos.rtd", , "CUSTOM3", "OMER")</f>
        <v>loading</v>
      </c>
      <c r="H14" t="str">
        <f>RTD("tos.rtd", , "CUSTOM2", "OMER")</f>
        <v>loading</v>
      </c>
      <c r="I14">
        <f>RTD("tos.rtd", , "BID", "OMER")</f>
        <v>6.99</v>
      </c>
      <c r="J14">
        <f>RTD("tos.rtd", , "BID_SIZE", "OMER")</f>
        <v>200</v>
      </c>
      <c r="K14">
        <f>RTD("tos.rtd", , "ASK", "OMER")</f>
        <v>7.04</v>
      </c>
      <c r="L14">
        <f>RTD("tos.rtd", , "ASK_SIZE", "OMER")</f>
        <v>100</v>
      </c>
      <c r="M14">
        <f>RTD("tos.rtd", , "VOLUME", "OMER")</f>
        <v>726748</v>
      </c>
      <c r="N14" t="str">
        <f>RTD("tos.rtd", , "MACD", "OMER")</f>
        <v>loading</v>
      </c>
      <c r="O14">
        <f>RTD("tos.rtd", , "OPEN", "OMER")</f>
        <v>6.64</v>
      </c>
      <c r="P14">
        <f>RTD("tos.rtd", , "HIGH", "OMER")</f>
        <v>7.26</v>
      </c>
      <c r="Q14">
        <f>RTD("tos.rtd", , "LOW", "OMER")</f>
        <v>6.59</v>
      </c>
      <c r="R14">
        <v>13.6</v>
      </c>
      <c r="S14">
        <v>2.95</v>
      </c>
    </row>
    <row r="15" spans="1:19" x14ac:dyDescent="0.25">
      <c r="A15" t="s">
        <v>33</v>
      </c>
      <c r="B15" t="str">
        <f>RTD("tos.rtd", , "DESCRIPTION", "PGEN")</f>
        <v>PRECIGEN INC</v>
      </c>
      <c r="C15" t="str">
        <f>RTD("tos.rtd", , "QUOTE_TREND", "PGEN")</f>
        <v>instrument=PGEN</v>
      </c>
      <c r="D15">
        <f>RTD("tos.rtd", , "LAST", "PGEN")</f>
        <v>4.3849999999999998</v>
      </c>
      <c r="E15">
        <f>RTD("tos.rtd", , "NET_CHANGE", "PGEN")</f>
        <v>0.52500000000000002</v>
      </c>
      <c r="F15" t="str">
        <f>RTD("tos.rtd", , "PERCENT_CHANGE", "PGEN")</f>
        <v>+13.60%</v>
      </c>
      <c r="G15" t="str">
        <f>RTD("tos.rtd", , "CUSTOM3", "PGEN")</f>
        <v>loading</v>
      </c>
      <c r="H15" t="str">
        <f>RTD("tos.rtd", , "CUSTOM2", "PGEN")</f>
        <v>loading</v>
      </c>
      <c r="I15">
        <f>RTD("tos.rtd", , "BID", "PGEN")</f>
        <v>4.38</v>
      </c>
      <c r="J15">
        <f>RTD("tos.rtd", , "BID_SIZE", "PGEN")</f>
        <v>400</v>
      </c>
      <c r="K15">
        <f>RTD("tos.rtd", , "ASK", "PGEN")</f>
        <v>4.3899999999999997</v>
      </c>
      <c r="L15">
        <f>RTD("tos.rtd", , "ASK_SIZE", "PGEN")</f>
        <v>300</v>
      </c>
      <c r="M15">
        <f>RTD("tos.rtd", , "VOLUME", "PGEN")</f>
        <v>1601100</v>
      </c>
      <c r="N15" t="str">
        <f>RTD("tos.rtd", , "MACD", "PGEN")</f>
        <v>loading</v>
      </c>
      <c r="O15">
        <f>RTD("tos.rtd", , "OPEN", "PGEN")</f>
        <v>3.78</v>
      </c>
      <c r="P15">
        <f>RTD("tos.rtd", , "HIGH", "PGEN")</f>
        <v>4.45</v>
      </c>
      <c r="Q15">
        <f>RTD("tos.rtd", , "LOW", "PGEN")</f>
        <v>3.74</v>
      </c>
      <c r="R15">
        <v>5.2249999999999996</v>
      </c>
      <c r="S15">
        <v>0.65129999999999999</v>
      </c>
    </row>
    <row r="16" spans="1:19" x14ac:dyDescent="0.25">
      <c r="A16" t="s">
        <v>19</v>
      </c>
      <c r="B16" t="str">
        <f>RTD("tos.rtd", , "DESCRIPTION", "ONDS")</f>
        <v>ONDAS HLDGS INC</v>
      </c>
      <c r="C16" t="str">
        <f>RTD("tos.rtd", , "QUOTE_TREND", "ONDS")</f>
        <v>instrument=ONDS</v>
      </c>
      <c r="D16">
        <f>RTD("tos.rtd", , "LAST", "ONDS")</f>
        <v>7.2649999999999997</v>
      </c>
      <c r="E16">
        <f>RTD("tos.rtd", , "NET_CHANGE", "ONDS")</f>
        <v>0.70499999999999996</v>
      </c>
      <c r="F16" t="str">
        <f>RTD("tos.rtd", , "PERCENT_CHANGE", "ONDS")</f>
        <v>+10.75%</v>
      </c>
      <c r="G16" t="str">
        <f>RTD("tos.rtd", , "CUSTOM3", "ONDS")</f>
        <v>loading</v>
      </c>
      <c r="H16" t="str">
        <f>RTD("tos.rtd", , "CUSTOM2", "ONDS")</f>
        <v>loading</v>
      </c>
      <c r="I16">
        <f>RTD("tos.rtd", , "BID", "ONDS")</f>
        <v>7.26</v>
      </c>
      <c r="J16">
        <f>RTD("tos.rtd", , "BID_SIZE", "ONDS")</f>
        <v>500</v>
      </c>
      <c r="K16">
        <f>RTD("tos.rtd", , "ASK", "ONDS")</f>
        <v>7.27</v>
      </c>
      <c r="L16">
        <f>RTD("tos.rtd", , "ASK_SIZE", "ONDS")</f>
        <v>2300</v>
      </c>
      <c r="M16">
        <f>RTD("tos.rtd", , "VOLUME", "ONDS")</f>
        <v>31051756</v>
      </c>
      <c r="N16" t="str">
        <f>RTD("tos.rtd", , "MACD", "ONDS")</f>
        <v>loading</v>
      </c>
      <c r="O16">
        <f>RTD("tos.rtd", , "OPEN", "ONDS")</f>
        <v>6.165</v>
      </c>
      <c r="P16">
        <f>RTD("tos.rtd", , "HIGH", "ONDS")</f>
        <v>7.51</v>
      </c>
      <c r="Q16">
        <f>RTD("tos.rtd", , "LOW", "ONDS")</f>
        <v>6.1</v>
      </c>
      <c r="R16">
        <v>11.6999</v>
      </c>
      <c r="S16">
        <v>0.56999999999999995</v>
      </c>
    </row>
    <row r="17" spans="1:19" x14ac:dyDescent="0.25">
      <c r="A17" t="s">
        <v>34</v>
      </c>
      <c r="B17" t="str">
        <f>RTD("tos.rtd", , "DESCRIPTION", "FIGR")</f>
        <v>FIGURE TECHNOLOGY SO A</v>
      </c>
      <c r="C17" t="str">
        <f>RTD("tos.rtd", , "QUOTE_TREND", "FIGR")</f>
        <v>instrument=FIGR</v>
      </c>
      <c r="D17">
        <f>RTD("tos.rtd", , "LAST", "FIGR")</f>
        <v>39.47</v>
      </c>
      <c r="E17">
        <f>RTD("tos.rtd", , "NET_CHANGE", "FIGR")</f>
        <v>4.88</v>
      </c>
      <c r="F17" t="str">
        <f>RTD("tos.rtd", , "PERCENT_CHANGE", "FIGR")</f>
        <v>+14.11%</v>
      </c>
      <c r="G17" t="str">
        <f>RTD("tos.rtd", , "CUSTOM3", "FIGR")</f>
        <v>loading</v>
      </c>
      <c r="H17" t="str">
        <f>RTD("tos.rtd", , "CUSTOM2", "FIGR")</f>
        <v>loading</v>
      </c>
      <c r="I17">
        <f>RTD("tos.rtd", , "BID", "FIGR")</f>
        <v>39.520000000000003</v>
      </c>
      <c r="J17">
        <f>RTD("tos.rtd", , "BID_SIZE", "FIGR")</f>
        <v>700</v>
      </c>
      <c r="K17">
        <f>RTD("tos.rtd", , "ASK", "FIGR")</f>
        <v>39.6</v>
      </c>
      <c r="L17">
        <f>RTD("tos.rtd", , "ASK_SIZE", "FIGR")</f>
        <v>300</v>
      </c>
      <c r="M17">
        <f>RTD("tos.rtd", , "VOLUME", "FIGR")</f>
        <v>1322774</v>
      </c>
      <c r="N17" t="str">
        <f>RTD("tos.rtd", , "MACD", "FIGR")</f>
        <v>loading</v>
      </c>
      <c r="O17">
        <f>RTD("tos.rtd", , "OPEN", "FIGR")</f>
        <v>35.5</v>
      </c>
      <c r="P17">
        <f>RTD("tos.rtd", , "HIGH", "FIGR")</f>
        <v>39.85</v>
      </c>
      <c r="Q17">
        <f>RTD("tos.rtd", , "LOW", "FIGR")</f>
        <v>35.467100000000002</v>
      </c>
      <c r="R17">
        <v>49.5</v>
      </c>
      <c r="S17">
        <v>30.01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Chinnam, Nagendra</dc:creator>
  <cp:lastModifiedBy>Chinnam, Nagendra</cp:lastModifiedBy>
  <dcterms:created xsi:type="dcterms:W3CDTF">2025-10-29T16:34:33Z</dcterms:created>
  <dcterms:modified xsi:type="dcterms:W3CDTF">2025-11-14T14:56:17Z</dcterms:modified>
</cp:coreProperties>
</file>