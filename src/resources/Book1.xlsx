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gendra\Code\Files\"/>
    </mc:Choice>
  </mc:AlternateContent>
  <xr:revisionPtr revIDLastSave="0" documentId="13_ncr:1_{49295D07-64F9-4F3B-8342-DCBA41B5A4F1}" xr6:coauthVersionLast="47" xr6:coauthVersionMax="47" xr10:uidLastSave="{00000000-0000-0000-0000-000000000000}"/>
  <bookViews>
    <workbookView xWindow="-120" yWindow="-120" windowWidth="20730" windowHeight="11040" xr2:uid="{33EC3757-EC4E-469A-AF9A-99BBC6FDAD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</calcChain>
</file>

<file path=xl/sharedStrings.xml><?xml version="1.0" encoding="utf-8"?>
<sst xmlns="http://schemas.openxmlformats.org/spreadsheetml/2006/main" count="27" uniqueCount="27">
  <si>
    <t>Symbol</t>
  </si>
  <si>
    <t>Description</t>
  </si>
  <si>
    <t>Quote Trend</t>
  </si>
  <si>
    <t>Last</t>
  </si>
  <si>
    <t>Net Chng</t>
  </si>
  <si>
    <t>%Change</t>
  </si>
  <si>
    <t>% Change_Cust</t>
  </si>
  <si>
    <t>RelativeVol_Cust</t>
  </si>
  <si>
    <t>Bid</t>
  </si>
  <si>
    <t>BS</t>
  </si>
  <si>
    <t>Ask</t>
  </si>
  <si>
    <t>AS</t>
  </si>
  <si>
    <t>Volume</t>
  </si>
  <si>
    <t>MACD</t>
  </si>
  <si>
    <t>Open</t>
  </si>
  <si>
    <t>High</t>
  </si>
  <si>
    <t>Low</t>
  </si>
  <si>
    <t>52High</t>
  </si>
  <si>
    <t>52Low</t>
  </si>
  <si>
    <t>MSAI</t>
  </si>
  <si>
    <t>GETY</t>
  </si>
  <si>
    <t>CTM</t>
  </si>
  <si>
    <t>DFSC</t>
  </si>
  <si>
    <t>HKD</t>
  </si>
  <si>
    <t>AMTD</t>
  </si>
  <si>
    <t>PROBF</t>
  </si>
  <si>
    <t>ZICXD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</si>
</sst>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os.rtd">
      <tp t="s">
        <v>instrument=MSAI</v>
        <stp/>
        <stp>QUOTE_TREND</stp>
        <stp>MSAI</stp>
        <tr r="C3" s="1"/>
      </tp>
      <tp>
        <v>2.11</v>
        <stp/>
        <stp>ASK</stp>
        <stp>GETY</stp>
        <tr r="K8" s="1"/>
      </tp>
      <tp t="s">
        <v>instrument=HKD</v>
        <stp/>
        <stp>QUOTE_TREND</stp>
        <stp>HKD</stp>
        <tr r="C2" s="1"/>
      </tp>
      <tp>
        <v>0.95009999999999994</v>
        <stp/>
        <stp>NET_CHANGE</stp>
        <stp>MSAI</stp>
        <tr r="E3" s="1"/>
      </tp>
      <tp>
        <v>5.14</v>
        <stp/>
        <stp>ASK</stp>
        <stp>DFSC</stp>
        <tr r="K7" s="1"/>
      </tp>
      <tp>
        <v>2.57</v>
        <stp/>
        <stp>OPEN</stp>
        <stp>PROBF</stp>
        <tr r="O4" s="1"/>
      </tp>
      <tp>
        <v>1.34</v>
        <stp/>
        <stp>OPEN</stp>
        <stp>CTM</stp>
        <tr r="O6" s="1"/>
      </tp>
      <tp>
        <v>-0.81</v>
        <stp/>
        <stp>MACD</stp>
        <stp>ZICXD</stp>
        <tr r="N9" s="1"/>
      </tp>
      <tp>
        <v>2.6675</v>
        <stp/>
        <stp>HIGH</stp>
        <stp>PROBF</stp>
        <tr r="P4" s="1"/>
      </tp>
      <tp>
        <v>37.1</v>
        <stp/>
        <stp>CUSTOM3</stp>
        <stp>PROBF</stp>
        <tr r="G4" s="1"/>
      </tp>
      <tp t="s">
        <v>CASTELLUM INC</v>
        <stp/>
        <stp>DESCRIPTION</stp>
        <stp>CTM</stp>
        <tr r="B6" s="1"/>
      </tp>
      <tp>
        <v>16.5</v>
        <stp/>
        <stp>CUSTOM2</stp>
        <stp>PROBF</stp>
        <tr r="H4" s="1"/>
      </tp>
      <tp t="s">
        <v>MULTISENSOR AI HLDGS</v>
        <stp/>
        <stp>DESCRIPTION</stp>
        <stp>MSAI</stp>
        <tr r="B3" s="1"/>
      </tp>
      <tp t="s">
        <v>instrument=CTM</v>
        <stp/>
        <stp>QUOTE_TREND</stp>
        <stp>CTM</stp>
        <tr r="C6" s="1"/>
      </tp>
      <tp>
        <v>0</v>
        <stp/>
        <stp>HIGH</stp>
        <stp>ZICXD</stp>
        <tr r="P9" s="1"/>
      </tp>
      <tp>
        <v>0</v>
        <stp/>
        <stp>MACD</stp>
        <stp>PROBF</stp>
        <tr r="N4" s="1"/>
      </tp>
      <tp>
        <v>1.31</v>
        <stp/>
        <stp>ASK</stp>
        <stp>AMTD</stp>
        <tr r="K5" s="1"/>
      </tp>
      <tp>
        <v>268.89999999999998</v>
        <stp/>
        <stp>CUSTOM3</stp>
        <stp>ZICXD</stp>
        <tr r="G9" s="1"/>
      </tp>
      <tp>
        <v>9</v>
        <stp/>
        <stp>CUSTOM2</stp>
        <stp>ZICXD</stp>
        <tr r="H9" s="1"/>
      </tp>
      <tp>
        <v>1.73</v>
        <stp/>
        <stp>LOW</stp>
        <stp>MSAI</stp>
        <tr r="Q3" s="1"/>
      </tp>
      <tp t="s">
        <v>AMTD DIGITAL INC A ADR</v>
        <stp/>
        <stp>DESCRIPTION</stp>
        <stp>HKD</stp>
        <tr r="B2" s="1"/>
      </tp>
      <tp>
        <v>2.27</v>
        <stp/>
        <stp>BID</stp>
        <stp>MSAI</stp>
        <tr r="I3" s="1"/>
      </tp>
      <tp>
        <v>0</v>
        <stp/>
        <stp>OPEN</stp>
        <stp>ZICXD</stp>
        <tr r="O9" s="1"/>
      </tp>
      <tp>
        <v>2.79</v>
        <stp/>
        <stp>OPEN</stp>
        <stp>HKD</stp>
        <tr r="O2" s="1"/>
      </tp>
      <tp>
        <v>0.69989999999999997</v>
        <stp/>
        <stp>NET_CHANGE</stp>
        <stp>PROBF</stp>
        <tr r="E4" s="1"/>
      </tp>
      <tp>
        <v>3.37</v>
        <stp/>
        <stp>BID</stp>
        <stp>HKD</stp>
        <tr r="I2" s="1"/>
      </tp>
      <tp t="s">
        <v>GETTY IMAGES HLDGS I A</v>
        <stp/>
        <stp>DESCRIPTION</stp>
        <stp>GETY</stp>
        <tr r="B8" s="1"/>
      </tp>
      <tp>
        <v>3.38</v>
        <stp/>
        <stp>ASK</stp>
        <stp>HKD</stp>
        <tr r="K2" s="1"/>
      </tp>
      <tp t="s">
        <v>DEFSEC TECHNOLOGIES</v>
        <stp/>
        <stp>DESCRIPTION</stp>
        <stp>DFSC</stp>
        <tr r="B7" s="1"/>
      </tp>
      <tp t="s">
        <v>+99.70%</v>
        <stp/>
        <stp>PERCENT_CHANGE</stp>
        <stp>HKD</stp>
        <tr r="F2" s="1"/>
      </tp>
      <tp>
        <v>1.29</v>
        <stp/>
        <stp>BID</stp>
        <stp>AMTD</stp>
        <tr r="I5" s="1"/>
      </tp>
      <tp>
        <v>9.7799999999999998E-2</v>
        <stp/>
        <stp>NET_CHANGE</stp>
        <stp>GETY</stp>
        <tr r="E8" s="1"/>
      </tp>
      <tp>
        <v>1.17</v>
        <stp/>
        <stp>LOW</stp>
        <stp>CTM</stp>
        <tr r="Q6" s="1"/>
      </tp>
      <tp>
        <v>4.5</v>
        <stp/>
        <stp>LAST</stp>
        <stp>ZICXD</stp>
        <tr r="D9" s="1"/>
      </tp>
      <tp t="s">
        <v>instrument=DFSC</v>
        <stp/>
        <stp>QUOTE_TREND</stp>
        <stp>DFSC</stp>
        <tr r="C7" s="1"/>
      </tp>
      <tp>
        <v>1.0818000000000001</v>
        <stp/>
        <stp>LOW</stp>
        <stp>AMTD</stp>
        <tr r="Q5" s="1"/>
      </tp>
      <tp>
        <v>1.26</v>
        <stp/>
        <stp>LAST</stp>
        <stp>CTM</stp>
        <tr r="D6" s="1"/>
      </tp>
      <tp>
        <v>0</v>
        <stp/>
        <stp>MACD</stp>
        <stp>CTM</stp>
        <tr r="N6" s="1"/>
      </tp>
      <tp t="s">
        <v>instrument=GETY</v>
        <stp/>
        <stp>QUOTE_TREND</stp>
        <stp>GETY</stp>
        <tr r="C8" s="1"/>
      </tp>
      <tp>
        <v>5.47</v>
        <stp/>
        <stp>HIGH</stp>
        <stp>HKD</stp>
        <tr r="P2" s="1"/>
      </tp>
      <tp>
        <v>74598511</v>
        <stp/>
        <stp>VOLUME</stp>
        <stp>CTM</stp>
        <tr r="M6" s="1"/>
      </tp>
      <tp>
        <v>0.79949999999999999</v>
        <stp/>
        <stp>NET_CHANGE</stp>
        <stp>DFSC</stp>
        <tr r="E7" s="1"/>
      </tp>
      <tp>
        <v>2.2799999999999998</v>
        <stp/>
        <stp>ASK</stp>
        <stp>MSAI</stp>
        <tr r="K3" s="1"/>
      </tp>
      <tp>
        <v>5.13</v>
        <stp/>
        <stp>BID</stp>
        <stp>DFSC</stp>
        <tr r="I7" s="1"/>
      </tp>
      <tp>
        <v>1.26</v>
        <stp/>
        <stp>ASK</stp>
        <stp>CTM</stp>
        <tr r="K6" s="1"/>
      </tp>
      <tp>
        <v>2.5844</v>
        <stp/>
        <stp>LAST</stp>
        <stp>PROBF</stp>
        <tr r="D4" s="1"/>
      </tp>
      <tp t="s">
        <v>AMTD IDEA GROUP ADR A ADR</v>
        <stp/>
        <stp>DESCRIPTION</stp>
        <stp>AMTD</stp>
        <tr r="B5" s="1"/>
      </tp>
      <tp t="s">
        <v>+22.33%</v>
        <stp/>
        <stp>PERCENT_CHANGE</stp>
        <stp>CTM</stp>
        <tr r="F6" s="1"/>
      </tp>
      <tp>
        <v>1.25</v>
        <stp/>
        <stp>BID</stp>
        <stp>CTM</stp>
        <tr r="I6" s="1"/>
      </tp>
      <tp>
        <v>2.1</v>
        <stp/>
        <stp>BID</stp>
        <stp>GETY</stp>
        <tr r="I8" s="1"/>
      </tp>
      <tp>
        <v>0.26989999999999997</v>
        <stp/>
        <stp>NET_CHANGE</stp>
        <stp>AMTD</stp>
        <tr r="E5" s="1"/>
      </tp>
      <tp>
        <v>0</v>
        <stp/>
        <stp>NET_CHANGE</stp>
        <stp>ZICXD</stp>
        <tr r="E9" s="1"/>
      </tp>
      <tp>
        <v>2.06</v>
        <stp/>
        <stp>LOW</stp>
        <stp>GETY</stp>
        <tr r="Q8" s="1"/>
      </tp>
      <tp>
        <v>1.36</v>
        <stp/>
        <stp>HIGH</stp>
        <stp>CTM</stp>
        <tr r="P6" s="1"/>
      </tp>
      <tp>
        <v>231899369</v>
        <stp/>
        <stp>VOLUME</stp>
        <stp>HKD</stp>
        <tr r="M2" s="1"/>
      </tp>
      <tp>
        <v>0.11</v>
        <stp/>
        <stp>MACD</stp>
        <stp>HKD</stp>
        <tr r="N2" s="1"/>
      </tp>
      <tp t="s">
        <v>instrument=AMTD</v>
        <stp/>
        <stp>QUOTE_TREND</stp>
        <stp>AMTD</stp>
        <tr r="C5" s="1"/>
      </tp>
      <tp>
        <v>4.7300000000000004</v>
        <stp/>
        <stp>LOW</stp>
        <stp>DFSC</stp>
        <tr r="Q7" s="1"/>
      </tp>
      <tp>
        <v>3.375</v>
        <stp/>
        <stp>LAST</stp>
        <stp>HKD</stp>
        <tr r="D2" s="1"/>
      </tp>
      <tp>
        <v>2.3801000000000001</v>
        <stp/>
        <stp>LOW</stp>
        <stp>HKD</stp>
        <tr r="Q2" s="1"/>
      </tp>
      <tp>
        <v>1.21</v>
        <stp/>
        <stp>OPEN</stp>
        <stp>AMTD</stp>
        <tr r="O5" s="1"/>
      </tp>
      <tp>
        <v>4.5</v>
        <stp/>
        <stp>ASK</stp>
        <stp>ZICXD</stp>
        <tr r="K9" s="1"/>
      </tp>
      <tp>
        <v>2.58</v>
        <stp/>
        <stp>BID</stp>
        <stp>PROBF</stp>
        <tr r="I4" s="1"/>
      </tp>
      <tp>
        <v>1.65</v>
        <stp/>
        <stp>HIGH</stp>
        <stp>AMTD</stp>
        <tr r="P5" s="1"/>
      </tp>
      <tp>
        <v>0</v>
        <stp/>
        <stp>MACD</stp>
        <stp>AMTD</stp>
        <tr r="N5" s="1"/>
      </tp>
      <tp t="s">
        <v>ZICIX CORP</v>
        <stp/>
        <stp>DESCRIPTION</stp>
        <stp>ZICXD</stp>
        <tr r="B9" s="1"/>
      </tp>
      <tp>
        <v>6</v>
        <stp/>
        <stp>HIGH</stp>
        <stp>DFSC</stp>
        <tr r="P7" s="1"/>
      </tp>
      <tp>
        <v>2.2700999999999998</v>
        <stp/>
        <stp>LAST</stp>
        <stp>MSAI</stp>
        <tr r="D3" s="1"/>
      </tp>
      <tp>
        <v>3.06</v>
        <stp/>
        <stp>OPEN</stp>
        <stp>GETY</stp>
        <tr r="O8" s="1"/>
      </tp>
      <tp>
        <v>5.28</v>
        <stp/>
        <stp>OPEN</stp>
        <stp>DFSC</stp>
        <tr r="O7" s="1"/>
      </tp>
      <tp>
        <v>3.21</v>
        <stp/>
        <stp>HIGH</stp>
        <stp>GETY</stp>
        <tr r="P8" s="1"/>
      </tp>
      <tp t="s">
        <v>PROBE GOLD INC</v>
        <stp/>
        <stp>DESCRIPTION</stp>
        <stp>PROBF</stp>
        <tr r="B4" s="1"/>
      </tp>
      <tp>
        <v>0.21</v>
        <stp/>
        <stp>MACD</stp>
        <stp>DFSC</stp>
        <tr r="N7" s="1"/>
      </tp>
      <tp>
        <v>2.61</v>
        <stp/>
        <stp>ASK</stp>
        <stp>PROBF</stp>
        <tr r="K4" s="1"/>
      </tp>
      <tp>
        <v>2.8</v>
        <stp/>
        <stp>BID</stp>
        <stp>ZICXD</stp>
        <tr r="I9" s="1"/>
      </tp>
      <tp>
        <v>0.01</v>
        <stp/>
        <stp>MACD</stp>
        <stp>GETY</stp>
        <tr r="N8" s="1"/>
      </tp>
      <tp>
        <v>2.57</v>
        <stp/>
        <stp>LOW</stp>
        <stp>PROBF</stp>
        <tr r="Q4" s="1"/>
      </tp>
      <tp t="s">
        <v>instrument=ZICXD</v>
        <stp/>
        <stp>QUOTE_TREND</stp>
        <stp>ZICXD</stp>
        <tr r="C9" s="1"/>
      </tp>
      <tp>
        <v>1.3099000000000001</v>
        <stp/>
        <stp>LAST</stp>
        <stp>AMTD</stp>
        <tr r="D5" s="1"/>
      </tp>
      <tp>
        <v>0.21</v>
        <stp/>
        <stp>MACD</stp>
        <stp>MSAI</stp>
        <tr r="N3" s="1"/>
      </tp>
      <tp t="s">
        <v>instrument=PROBF</v>
        <stp/>
        <stp>QUOTE_TREND</stp>
        <stp>PROBF</stp>
        <tr r="C4" s="1"/>
      </tp>
      <tp>
        <v>5.1494999999999997</v>
        <stp/>
        <stp>LAST</stp>
        <stp>DFSC</stp>
        <tr r="D7" s="1"/>
      </tp>
      <tp>
        <v>2.4</v>
        <stp/>
        <stp>HIGH</stp>
        <stp>MSAI</stp>
        <tr r="P3" s="1"/>
      </tp>
      <tp>
        <v>0</v>
        <stp/>
        <stp>LOW</stp>
        <stp>ZICXD</stp>
        <tr r="Q9" s="1"/>
      </tp>
      <tp>
        <v>2.1078000000000001</v>
        <stp/>
        <stp>LAST</stp>
        <stp>GETY</stp>
        <tr r="D8" s="1"/>
      </tp>
      <tp>
        <v>1.7849999999999999</v>
        <stp/>
        <stp>OPEN</stp>
        <stp>MSAI</stp>
        <tr r="O3" s="1"/>
      </tp>
      <tp>
        <v>28.6</v>
        <stp/>
        <stp>CUSTOM2</stp>
        <stp>AMTD</stp>
        <tr r="H5" s="1"/>
      </tp>
      <tp>
        <v>26</v>
        <stp/>
        <stp>CUSTOM3</stp>
        <stp>AMTD</stp>
        <tr r="G5" s="1"/>
      </tp>
      <tp>
        <v>110545035</v>
        <stp/>
        <stp>VOLUME</stp>
        <stp>GETY</stp>
        <tr r="M8" s="1"/>
      </tp>
      <tp>
        <v>69</v>
        <stp/>
        <stp>ASK_SIZE</stp>
        <stp>HKD</stp>
        <tr r="L2" s="1"/>
      </tp>
      <tp>
        <v>29777161</v>
        <stp/>
        <stp>VOLUME</stp>
        <stp>DFSC</stp>
        <tr r="M7" s="1"/>
      </tp>
      <tp t="s">
        <v>+25.95%</v>
        <stp/>
        <stp>PERCENT_CHANGE</stp>
        <stp>AMTD</stp>
        <tr r="F5" s="1"/>
      </tp>
      <tp>
        <v>18.399999999999999</v>
        <stp/>
        <stp>CUSTOM3</stp>
        <stp>DFSC</stp>
        <tr r="G7" s="1"/>
      </tp>
      <tp>
        <v>28.4</v>
        <stp/>
        <stp>CUSTOM2</stp>
        <stp>DFSC</stp>
        <tr r="H7" s="1"/>
      </tp>
      <tp>
        <v>25.2</v>
        <stp/>
        <stp>CUSTOM2</stp>
        <stp>GETY</stp>
        <tr r="H8" s="1"/>
      </tp>
      <tp>
        <v>4.7</v>
        <stp/>
        <stp>CUSTOM3</stp>
        <stp>GETY</stp>
        <tr r="G8" s="1"/>
      </tp>
      <tp t="s">
        <v>+18.38%</v>
        <stp/>
        <stp>PERCENT_CHANGE</stp>
        <stp>DFSC</stp>
        <tr r="F7" s="1"/>
      </tp>
      <tp>
        <v>13685809</v>
        <stp/>
        <stp>VOLUME</stp>
        <stp>AMTD</stp>
        <tr r="M5" s="1"/>
      </tp>
      <tp>
        <v>139</v>
        <stp/>
        <stp>ASK_SIZE</stp>
        <stp>CTM</stp>
        <tr r="L6" s="1"/>
      </tp>
      <tp t="s">
        <v>+4.87%</v>
        <stp/>
        <stp>PERCENT_CHANGE</stp>
        <stp>GETY</stp>
        <tr r="F8" s="1"/>
      </tp>
      <tp>
        <v>1573096</v>
        <stp/>
        <stp>VOLUME</stp>
        <stp>PROBF</stp>
        <tr r="M4" s="1"/>
      </tp>
      <tp t="s">
        <v>0.00%</v>
        <stp/>
        <stp>PERCENT_CHANGE</stp>
        <stp>ZICXD</stp>
        <tr r="F9" s="1"/>
      </tp>
      <tp>
        <v>139832247</v>
        <stp/>
        <stp>VOLUME</stp>
        <stp>MSAI</stp>
        <tr r="M3" s="1"/>
      </tp>
      <tp>
        <v>22.3</v>
        <stp/>
        <stp>CUSTOM3</stp>
        <stp>CTM</stp>
        <tr r="G6" s="1"/>
      </tp>
      <tp>
        <v>15</v>
        <stp/>
        <stp>CUSTOM2</stp>
        <stp>CTM</stp>
        <tr r="H6" s="1"/>
      </tp>
      <tp>
        <v>96</v>
        <stp/>
        <stp>BID_SIZE</stp>
        <stp>CTM</stp>
        <tr r="J6" s="1"/>
      </tp>
      <tp>
        <v>1.6850000000000001</v>
        <stp/>
        <stp>NET_CHANGE</stp>
        <stp>HKD</stp>
        <tr r="E2" s="1"/>
      </tp>
      <tp>
        <v>271</v>
        <stp/>
        <stp>ASK_SIZE</stp>
        <stp>ZICXD</stp>
        <tr r="L9" s="1"/>
      </tp>
      <tp>
        <v>100</v>
        <stp/>
        <stp>BID_SIZE</stp>
        <stp>ZICXD</stp>
        <tr r="J9" s="1"/>
      </tp>
      <tp t="s">
        <v>+71.98%</v>
        <stp/>
        <stp>PERCENT_CHANGE</stp>
        <stp>MSAI</stp>
        <tr r="F3" s="1"/>
      </tp>
      <tp>
        <v>9700</v>
        <stp/>
        <stp>BID_SIZE</stp>
        <stp>PROBF</stp>
        <tr r="J4" s="1"/>
      </tp>
      <tp>
        <v>20012</v>
        <stp/>
        <stp>ASK_SIZE</stp>
        <stp>PROBF</stp>
        <tr r="L4" s="1"/>
      </tp>
      <tp>
        <v>73.5</v>
        <stp/>
        <stp>CUSTOM3</stp>
        <stp>MSAI</stp>
        <tr r="G3" s="1"/>
      </tp>
      <tp>
        <v>8.3000000000000007</v>
        <stp/>
        <stp>CUSTOM2</stp>
        <stp>MSAI</stp>
        <tr r="H3" s="1"/>
      </tp>
      <tp>
        <v>0.23</v>
        <stp/>
        <stp>NET_CHANGE</stp>
        <stp>CTM</stp>
        <tr r="E6" s="1"/>
      </tp>
      <tp t="s">
        <v>+37.14%</v>
        <stp/>
        <stp>PERCENT_CHANGE</stp>
        <stp>PROBF</stp>
        <tr r="F4" s="1"/>
      </tp>
      <tp>
        <v>3</v>
        <stp/>
        <stp>VOLUME</stp>
        <stp>ZICXD</stp>
        <tr r="M9" s="1"/>
      </tp>
      <tp>
        <v>29</v>
        <stp/>
        <stp>CUSTOM2</stp>
        <stp>HKD</stp>
        <tr r="H2" s="1"/>
      </tp>
      <tp>
        <v>99.2</v>
        <stp/>
        <stp>CUSTOM3</stp>
        <stp>HKD</stp>
        <tr r="G2" s="1"/>
      </tp>
      <tp>
        <v>8</v>
        <stp/>
        <stp>BID_SIZE</stp>
        <stp>HKD</stp>
        <tr r="J2" s="1"/>
      </tp>
      <tp>
        <v>16</v>
        <stp/>
        <stp>BID_SIZE</stp>
        <stp>MSAI</stp>
        <tr r="J3" s="1"/>
      </tp>
      <tp>
        <v>30</v>
        <stp/>
        <stp>ASK_SIZE</stp>
        <stp>MSAI</stp>
        <tr r="L3" s="1"/>
      </tp>
      <tp>
        <v>4</v>
        <stp/>
        <stp>BID_SIZE</stp>
        <stp>DFSC</stp>
        <tr r="J7" s="1"/>
      </tp>
      <tp>
        <v>61</v>
        <stp/>
        <stp>BID_SIZE</stp>
        <stp>GETY</stp>
        <tr r="J8" s="1"/>
      </tp>
      <tp>
        <v>6</v>
        <stp/>
        <stp>ASK_SIZE</stp>
        <stp>AMTD</stp>
        <tr r="L5" s="1"/>
      </tp>
      <tp>
        <v>4</v>
        <stp/>
        <stp>BID_SIZE</stp>
        <stp>AMTD</stp>
        <tr r="J5" s="1"/>
      </tp>
      <tp>
        <v>51</v>
        <stp/>
        <stp>ASK_SIZE</stp>
        <stp>GETY</stp>
        <tr r="L8" s="1"/>
      </tp>
      <tp>
        <v>2</v>
        <stp/>
        <stp>ASK_SIZE</stp>
        <stp>DFSC</stp>
        <tr r="L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56F9-DD99-4AD2-9C82-E412CD6E8181}">
  <dimension ref="A1:S9"/>
  <sheetViews>
    <sheetView tabSelected="1" workbookViewId="0">
      <selection activeCell="D17" sqref="D1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23</v>
      </c>
      <c r="B2" t="str">
        <f>RTD("tos.rtd", , "DESCRIPTION", "HKD")</f>
        <v>AMTD DIGITAL INC A ADR</v>
      </c>
      <c r="C2" t="str">
        <f>RTD("tos.rtd", , "QUOTE_TREND", "HKD")</f>
        <v>instrument=HKD</v>
      </c>
      <c r="D2">
        <f>RTD("tos.rtd", , "LAST", "HKD")</f>
        <v>3.375</v>
      </c>
      <c r="E2">
        <f>RTD("tos.rtd", , "NET_CHANGE", "HKD")</f>
        <v>1.6850000000000001</v>
      </c>
      <c r="F2" t="str">
        <f>RTD("tos.rtd", , "PERCENT_CHANGE", "HKD")</f>
        <v>+99.70%</v>
      </c>
      <c r="G2">
        <f>RTD("tos.rtd", , "CUSTOM3", "HKD")</f>
        <v>99.2</v>
      </c>
      <c r="H2">
        <f>RTD("tos.rtd", , "CUSTOM2", "HKD")</f>
        <v>29</v>
      </c>
      <c r="I2">
        <f>RTD("tos.rtd", , "BID", "HKD")</f>
        <v>3.37</v>
      </c>
      <c r="J2">
        <f>RTD("tos.rtd", , "BID_SIZE", "HKD")</f>
        <v>8</v>
      </c>
      <c r="K2">
        <f>RTD("tos.rtd", , "ASK", "HKD")</f>
        <v>3.38</v>
      </c>
      <c r="L2">
        <f>RTD("tos.rtd", , "ASK_SIZE", "HKD")</f>
        <v>69</v>
      </c>
      <c r="M2">
        <f>RTD("tos.rtd", , "VOLUME", "HKD")</f>
        <v>231899369</v>
      </c>
      <c r="N2">
        <f>RTD("tos.rtd", , "MACD", "HKD")</f>
        <v>0.11</v>
      </c>
      <c r="O2">
        <f>RTD("tos.rtd", , "OPEN", "HKD")</f>
        <v>2.79</v>
      </c>
      <c r="P2">
        <f>RTD("tos.rtd", , "HIGH", "HKD")</f>
        <v>5.47</v>
      </c>
      <c r="Q2">
        <f>RTD("tos.rtd", , "LOW", "HKD")</f>
        <v>2.3801000000000001</v>
      </c>
      <c r="R2">
        <v>5.47</v>
      </c>
      <c r="S2">
        <v>1.55</v>
      </c>
    </row>
    <row r="3" spans="1:19" x14ac:dyDescent="0.25">
      <c r="A3" t="s">
        <v>19</v>
      </c>
      <c r="B3" t="str">
        <f>RTD("tos.rtd", , "DESCRIPTION", "MSAI")</f>
        <v>MULTISENSOR AI HLDGS</v>
      </c>
      <c r="C3" t="str">
        <f>RTD("tos.rtd", , "QUOTE_TREND", "MSAI")</f>
        <v>instrument=MSAI</v>
      </c>
      <c r="D3">
        <f>RTD("tos.rtd", , "LAST", "MSAI")</f>
        <v>2.2700999999999998</v>
      </c>
      <c r="E3">
        <f>RTD("tos.rtd", , "NET_CHANGE", "MSAI")</f>
        <v>0.95009999999999994</v>
      </c>
      <c r="F3" t="str">
        <f>RTD("tos.rtd", , "PERCENT_CHANGE", "MSAI")</f>
        <v>+71.98%</v>
      </c>
      <c r="G3">
        <f>RTD("tos.rtd", , "CUSTOM3", "MSAI")</f>
        <v>73.5</v>
      </c>
      <c r="H3">
        <f>RTD("tos.rtd", , "CUSTOM2", "MSAI")</f>
        <v>8.3000000000000007</v>
      </c>
      <c r="I3">
        <f>RTD("tos.rtd", , "BID", "MSAI")</f>
        <v>2.27</v>
      </c>
      <c r="J3">
        <f>RTD("tos.rtd", , "BID_SIZE", "MSAI")</f>
        <v>16</v>
      </c>
      <c r="K3">
        <f>RTD("tos.rtd", , "ASK", "MSAI")</f>
        <v>2.2799999999999998</v>
      </c>
      <c r="L3">
        <f>RTD("tos.rtd", , "ASK_SIZE", "MSAI")</f>
        <v>30</v>
      </c>
      <c r="M3">
        <f>RTD("tos.rtd", , "VOLUME", "MSAI")</f>
        <v>139832247</v>
      </c>
      <c r="N3">
        <f>RTD("tos.rtd", , "MACD", "MSAI")</f>
        <v>0.21</v>
      </c>
      <c r="O3">
        <f>RTD("tos.rtd", , "OPEN", "MSAI")</f>
        <v>1.7849999999999999</v>
      </c>
      <c r="P3">
        <f>RTD("tos.rtd", , "HIGH", "MSAI")</f>
        <v>2.4</v>
      </c>
      <c r="Q3">
        <f>RTD("tos.rtd", , "LOW", "MSAI")</f>
        <v>1.73</v>
      </c>
      <c r="R3">
        <v>3.33</v>
      </c>
      <c r="S3">
        <v>0.46439999999999998</v>
      </c>
    </row>
    <row r="4" spans="1:19" x14ac:dyDescent="0.25">
      <c r="A4" t="s">
        <v>25</v>
      </c>
      <c r="B4" t="str">
        <f>RTD("tos.rtd", , "DESCRIPTION", "PROBF")</f>
        <v>PROBE GOLD INC</v>
      </c>
      <c r="C4" t="str">
        <f>RTD("tos.rtd", , "QUOTE_TREND", "PROBF")</f>
        <v>instrument=PROBF</v>
      </c>
      <c r="D4">
        <f>RTD("tos.rtd", , "LAST", "PROBF")</f>
        <v>2.5844</v>
      </c>
      <c r="E4">
        <f>RTD("tos.rtd", , "NET_CHANGE", "PROBF")</f>
        <v>0.69989999999999997</v>
      </c>
      <c r="F4" t="str">
        <f>RTD("tos.rtd", , "PERCENT_CHANGE", "PROBF")</f>
        <v>+37.14%</v>
      </c>
      <c r="G4">
        <f>RTD("tos.rtd", , "CUSTOM3", "PROBF")</f>
        <v>37.1</v>
      </c>
      <c r="H4">
        <f>RTD("tos.rtd", , "CUSTOM2", "PROBF")</f>
        <v>16.5</v>
      </c>
      <c r="I4">
        <f>RTD("tos.rtd", , "BID", "PROBF")</f>
        <v>2.58</v>
      </c>
      <c r="J4">
        <f>RTD("tos.rtd", , "BID_SIZE", "PROBF")</f>
        <v>9700</v>
      </c>
      <c r="K4">
        <f>RTD("tos.rtd", , "ASK", "PROBF")</f>
        <v>2.61</v>
      </c>
      <c r="L4">
        <f>RTD("tos.rtd", , "ASK_SIZE", "PROBF")</f>
        <v>20012</v>
      </c>
      <c r="M4">
        <f>RTD("tos.rtd", , "VOLUME", "PROBF")</f>
        <v>1573096</v>
      </c>
      <c r="N4">
        <f>RTD("tos.rtd", , "MACD", "PROBF")</f>
        <v>0</v>
      </c>
      <c r="O4">
        <f>RTD("tos.rtd", , "OPEN", "PROBF")</f>
        <v>2.57</v>
      </c>
      <c r="P4">
        <f>RTD("tos.rtd", , "HIGH", "PROBF")</f>
        <v>2.6675</v>
      </c>
      <c r="Q4">
        <f>RTD("tos.rtd", , "LOW", "PROBF")</f>
        <v>2.57</v>
      </c>
      <c r="R4">
        <v>2.6675</v>
      </c>
      <c r="S4">
        <v>1.03</v>
      </c>
    </row>
    <row r="5" spans="1:19" x14ac:dyDescent="0.25">
      <c r="A5" t="s">
        <v>24</v>
      </c>
      <c r="B5" t="str">
        <f>RTD("tos.rtd", , "DESCRIPTION", "AMTD")</f>
        <v>AMTD IDEA GROUP ADR A ADR</v>
      </c>
      <c r="C5" t="str">
        <f>RTD("tos.rtd", , "QUOTE_TREND", "AMTD")</f>
        <v>instrument=AMTD</v>
      </c>
      <c r="D5">
        <f>RTD("tos.rtd", , "LAST", "AMTD")</f>
        <v>1.3099000000000001</v>
      </c>
      <c r="E5">
        <f>RTD("tos.rtd", , "NET_CHANGE", "AMTD")</f>
        <v>0.26989999999999997</v>
      </c>
      <c r="F5" t="str">
        <f>RTD("tos.rtd", , "PERCENT_CHANGE", "AMTD")</f>
        <v>+25.95%</v>
      </c>
      <c r="G5">
        <f>RTD("tos.rtd", , "CUSTOM3", "AMTD")</f>
        <v>26</v>
      </c>
      <c r="H5">
        <f>RTD("tos.rtd", , "CUSTOM2", "AMTD")</f>
        <v>28.6</v>
      </c>
      <c r="I5">
        <f>RTD("tos.rtd", , "BID", "AMTD")</f>
        <v>1.29</v>
      </c>
      <c r="J5">
        <f>RTD("tos.rtd", , "BID_SIZE", "AMTD")</f>
        <v>4</v>
      </c>
      <c r="K5">
        <f>RTD("tos.rtd", , "ASK", "AMTD")</f>
        <v>1.31</v>
      </c>
      <c r="L5">
        <f>RTD("tos.rtd", , "ASK_SIZE", "AMTD")</f>
        <v>6</v>
      </c>
      <c r="M5">
        <f>RTD("tos.rtd", , "VOLUME", "AMTD")</f>
        <v>13685809</v>
      </c>
      <c r="N5">
        <f>RTD("tos.rtd", , "MACD", "AMTD")</f>
        <v>0</v>
      </c>
      <c r="O5">
        <f>RTD("tos.rtd", , "OPEN", "AMTD")</f>
        <v>1.21</v>
      </c>
      <c r="P5">
        <f>RTD("tos.rtd", , "HIGH", "AMTD")</f>
        <v>1.65</v>
      </c>
      <c r="Q5">
        <f>RTD("tos.rtd", , "LOW", "AMTD")</f>
        <v>1.0818000000000001</v>
      </c>
      <c r="R5">
        <v>1.65</v>
      </c>
      <c r="S5">
        <v>0.92</v>
      </c>
    </row>
    <row r="6" spans="1:19" x14ac:dyDescent="0.25">
      <c r="A6" t="s">
        <v>21</v>
      </c>
      <c r="B6" t="str">
        <f>RTD("tos.rtd", , "DESCRIPTION", "CTM")</f>
        <v>CASTELLUM INC</v>
      </c>
      <c r="C6" t="str">
        <f>RTD("tos.rtd", , "QUOTE_TREND", "CTM")</f>
        <v>instrument=CTM</v>
      </c>
      <c r="D6">
        <f>RTD("tos.rtd", , "LAST", "CTM")</f>
        <v>1.26</v>
      </c>
      <c r="E6">
        <f>RTD("tos.rtd", , "NET_CHANGE", "CTM")</f>
        <v>0.23</v>
      </c>
      <c r="F6" t="str">
        <f>RTD("tos.rtd", , "PERCENT_CHANGE", "CTM")</f>
        <v>+22.33%</v>
      </c>
      <c r="G6">
        <f>RTD("tos.rtd", , "CUSTOM3", "CTM")</f>
        <v>22.3</v>
      </c>
      <c r="H6">
        <f>RTD("tos.rtd", , "CUSTOM2", "CTM")</f>
        <v>15</v>
      </c>
      <c r="I6">
        <f>RTD("tos.rtd", , "BID", "CTM")</f>
        <v>1.25</v>
      </c>
      <c r="J6">
        <f>RTD("tos.rtd", , "BID_SIZE", "CTM")</f>
        <v>96</v>
      </c>
      <c r="K6">
        <f>RTD("tos.rtd", , "ASK", "CTM")</f>
        <v>1.26</v>
      </c>
      <c r="L6">
        <f>RTD("tos.rtd", , "ASK_SIZE", "CTM")</f>
        <v>139</v>
      </c>
      <c r="M6">
        <f>RTD("tos.rtd", , "VOLUME", "CTM")</f>
        <v>74598511</v>
      </c>
      <c r="N6">
        <f>RTD("tos.rtd", , "MACD", "CTM")</f>
        <v>0</v>
      </c>
      <c r="O6">
        <f>RTD("tos.rtd", , "OPEN", "CTM")</f>
        <v>1.34</v>
      </c>
      <c r="P6">
        <f>RTD("tos.rtd", , "HIGH", "CTM")</f>
        <v>1.36</v>
      </c>
      <c r="Q6">
        <f>RTD("tos.rtd", , "LOW", "CTM")</f>
        <v>1.17</v>
      </c>
      <c r="R6">
        <v>2.83</v>
      </c>
      <c r="S6">
        <v>0.14000000000000001</v>
      </c>
    </row>
    <row r="7" spans="1:19" x14ac:dyDescent="0.25">
      <c r="A7" t="s">
        <v>22</v>
      </c>
      <c r="B7" t="str">
        <f>RTD("tos.rtd", , "DESCRIPTION", "DFSC")</f>
        <v>DEFSEC TECHNOLOGIES</v>
      </c>
      <c r="C7" t="str">
        <f>RTD("tos.rtd", , "QUOTE_TREND", "DFSC")</f>
        <v>instrument=DFSC</v>
      </c>
      <c r="D7">
        <f>RTD("tos.rtd", , "LAST", "DFSC")</f>
        <v>5.1494999999999997</v>
      </c>
      <c r="E7">
        <f>RTD("tos.rtd", , "NET_CHANGE", "DFSC")</f>
        <v>0.79949999999999999</v>
      </c>
      <c r="F7" t="str">
        <f>RTD("tos.rtd", , "PERCENT_CHANGE", "DFSC")</f>
        <v>+18.38%</v>
      </c>
      <c r="G7">
        <f>RTD("tos.rtd", , "CUSTOM3", "DFSC")</f>
        <v>18.399999999999999</v>
      </c>
      <c r="H7">
        <f>RTD("tos.rtd", , "CUSTOM2", "DFSC")</f>
        <v>28.4</v>
      </c>
      <c r="I7">
        <f>RTD("tos.rtd", , "BID", "DFSC")</f>
        <v>5.13</v>
      </c>
      <c r="J7">
        <f>RTD("tos.rtd", , "BID_SIZE", "DFSC")</f>
        <v>4</v>
      </c>
      <c r="K7">
        <f>RTD("tos.rtd", , "ASK", "DFSC")</f>
        <v>5.14</v>
      </c>
      <c r="L7">
        <f>RTD("tos.rtd", , "ASK_SIZE", "DFSC")</f>
        <v>2</v>
      </c>
      <c r="M7">
        <f>RTD("tos.rtd", , "VOLUME", "DFSC")</f>
        <v>29777161</v>
      </c>
      <c r="N7">
        <f>RTD("tos.rtd", , "MACD", "DFSC")</f>
        <v>0.21</v>
      </c>
      <c r="O7">
        <f>RTD("tos.rtd", , "OPEN", "DFSC")</f>
        <v>5.28</v>
      </c>
      <c r="P7">
        <f>RTD("tos.rtd", , "HIGH", "DFSC")</f>
        <v>6</v>
      </c>
      <c r="Q7">
        <f>RTD("tos.rtd", , "LOW", "DFSC")</f>
        <v>4.7300000000000004</v>
      </c>
      <c r="R7">
        <v>15.37</v>
      </c>
      <c r="S7">
        <v>0.18395</v>
      </c>
    </row>
    <row r="8" spans="1:19" x14ac:dyDescent="0.25">
      <c r="A8" t="s">
        <v>20</v>
      </c>
      <c r="B8" t="str">
        <f>RTD("tos.rtd", , "DESCRIPTION", "GETY")</f>
        <v>GETTY IMAGES HLDGS I A</v>
      </c>
      <c r="C8" t="str">
        <f>RTD("tos.rtd", , "QUOTE_TREND", "GETY")</f>
        <v>instrument=GETY</v>
      </c>
      <c r="D8">
        <f>RTD("tos.rtd", , "LAST", "GETY")</f>
        <v>2.1078000000000001</v>
      </c>
      <c r="E8">
        <f>RTD("tos.rtd", , "NET_CHANGE", "GETY")</f>
        <v>9.7799999999999998E-2</v>
      </c>
      <c r="F8" t="str">
        <f>RTD("tos.rtd", , "PERCENT_CHANGE", "GETY")</f>
        <v>+4.87%</v>
      </c>
      <c r="G8">
        <f>RTD("tos.rtd", , "CUSTOM3", "GETY")</f>
        <v>4.7</v>
      </c>
      <c r="H8">
        <f>RTD("tos.rtd", , "CUSTOM2", "GETY")</f>
        <v>25.2</v>
      </c>
      <c r="I8">
        <f>RTD("tos.rtd", , "BID", "GETY")</f>
        <v>2.1</v>
      </c>
      <c r="J8">
        <f>RTD("tos.rtd", , "BID_SIZE", "GETY")</f>
        <v>61</v>
      </c>
      <c r="K8">
        <f>RTD("tos.rtd", , "ASK", "GETY")</f>
        <v>2.11</v>
      </c>
      <c r="L8">
        <f>RTD("tos.rtd", , "ASK_SIZE", "GETY")</f>
        <v>51</v>
      </c>
      <c r="M8">
        <f>RTD("tos.rtd", , "VOLUME", "GETY")</f>
        <v>110545035</v>
      </c>
      <c r="N8">
        <f>RTD("tos.rtd", , "MACD", "GETY")</f>
        <v>0.01</v>
      </c>
      <c r="O8">
        <f>RTD("tos.rtd", , "OPEN", "GETY")</f>
        <v>3.06</v>
      </c>
      <c r="P8">
        <f>RTD("tos.rtd", , "HIGH", "GETY")</f>
        <v>3.21</v>
      </c>
      <c r="Q8">
        <f>RTD("tos.rtd", , "LOW", "GETY")</f>
        <v>2.06</v>
      </c>
      <c r="R8">
        <v>4.4850000000000003</v>
      </c>
      <c r="S8">
        <v>1.25</v>
      </c>
    </row>
    <row r="9" spans="1:19" x14ac:dyDescent="0.25">
      <c r="A9" t="s">
        <v>26</v>
      </c>
      <c r="B9" t="str">
        <f>RTD("tos.rtd", , "DESCRIPTION", "ZICXD")</f>
        <v>ZICIX CORP</v>
      </c>
      <c r="C9" t="str">
        <f>RTD("tos.rtd", , "QUOTE_TREND", "ZICXD")</f>
        <v>instrument=ZICXD</v>
      </c>
      <c r="D9">
        <f>RTD("tos.rtd", , "LAST", "ZICXD")</f>
        <v>4.5</v>
      </c>
      <c r="E9">
        <f>RTD("tos.rtd", , "NET_CHANGE", "ZICXD")</f>
        <v>0</v>
      </c>
      <c r="F9" t="str">
        <f>RTD("tos.rtd", , "PERCENT_CHANGE", "ZICXD")</f>
        <v>0.00%</v>
      </c>
      <c r="G9">
        <f>RTD("tos.rtd", , "CUSTOM3", "ZICXD")</f>
        <v>268.89999999999998</v>
      </c>
      <c r="H9">
        <f>RTD("tos.rtd", , "CUSTOM2", "ZICXD")</f>
        <v>9</v>
      </c>
      <c r="I9">
        <f>RTD("tos.rtd", , "BID", "ZICXD")</f>
        <v>2.8</v>
      </c>
      <c r="J9">
        <f>RTD("tos.rtd", , "BID_SIZE", "ZICXD")</f>
        <v>100</v>
      </c>
      <c r="K9">
        <f>RTD("tos.rtd", , "ASK", "ZICXD")</f>
        <v>4.5</v>
      </c>
      <c r="L9">
        <f>RTD("tos.rtd", , "ASK_SIZE", "ZICXD")</f>
        <v>271</v>
      </c>
      <c r="M9">
        <f>RTD("tos.rtd", , "VOLUME", "ZICXD")</f>
        <v>3</v>
      </c>
      <c r="N9">
        <f>RTD("tos.rtd", , "MACD", "ZICXD")</f>
        <v>-0.81</v>
      </c>
      <c r="O9">
        <f>RTD("tos.rtd", , "OPEN", "ZICXD")</f>
        <v>0</v>
      </c>
      <c r="P9">
        <f>RTD("tos.rtd", , "HIGH", "ZICXD")</f>
        <v>0</v>
      </c>
      <c r="Q9">
        <f>RTD("tos.rtd", , "LOW", "ZICXD")</f>
        <v>0</v>
      </c>
      <c r="R9">
        <v>9</v>
      </c>
      <c r="S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Chinnam, Nagendra</dc:creator>
  <cp:lastModifiedBy>Chinnam, Nagendra</cp:lastModifiedBy>
  <dcterms:created xsi:type="dcterms:W3CDTF">2025-10-29T16:34:33Z</dcterms:created>
  <dcterms:modified xsi:type="dcterms:W3CDTF">2025-10-31T15:56:39Z</dcterms:modified>
</cp:coreProperties>
</file>